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testing\banking database+API\"/>
    </mc:Choice>
  </mc:AlternateContent>
  <xr:revisionPtr revIDLastSave="0" documentId="13_ncr:1_{7A172140-51E2-4BC0-B31A-F9A1BA30B2E5}" xr6:coauthVersionLast="47" xr6:coauthVersionMax="47" xr10:uidLastSave="{00000000-0000-0000-0000-000000000000}"/>
  <bookViews>
    <workbookView xWindow="-108" yWindow="-108" windowWidth="23256" windowHeight="12456" tabRatio="500" xr2:uid="{00000000-000D-0000-FFFF-FFFF00000000}"/>
  </bookViews>
  <sheets>
    <sheet name="Execution" sheetId="1" r:id="rId1"/>
    <sheet name="Summary" sheetId="2" r:id="rId2"/>
  </sheets>
  <definedNames>
    <definedName name="_xlnm._FilterDatabase" localSheetId="0" hidden="1">Execution!$A$1:$I$496</definedName>
    <definedName name="_xlnm.Print_Titles" localSheetId="0">Execution!$1:$1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8" i="2" l="1"/>
  <c r="B7" i="2"/>
  <c r="B6" i="2"/>
  <c r="B5" i="2"/>
  <c r="B4" i="2"/>
  <c r="B10" i="2" l="1"/>
  <c r="B9" i="2"/>
</calcChain>
</file>

<file path=xl/sharedStrings.xml><?xml version="1.0" encoding="utf-8"?>
<sst xmlns="http://schemas.openxmlformats.org/spreadsheetml/2006/main" count="749" uniqueCount="537">
  <si>
    <t>TC ID</t>
  </si>
  <si>
    <t>Title</t>
  </si>
  <si>
    <t>Steps</t>
  </si>
  <si>
    <t>Test Data</t>
  </si>
  <si>
    <t>Actual Result</t>
  </si>
  <si>
    <t>Status</t>
  </si>
  <si>
    <t>Bug ID</t>
  </si>
  <si>
    <t>Execution Date</t>
  </si>
  <si>
    <t>Execution Notes</t>
  </si>
  <si>
    <t>ACC-01</t>
  </si>
  <si>
    <t>Verify that a new account can be created with valid data</t>
  </si>
  <si>
    <t>Not Run</t>
  </si>
  <si>
    <t>ACC-02</t>
  </si>
  <si>
    <t>Verify that account creation fails when required data is missing</t>
  </si>
  <si>
    <t>{"dailyWithdrawalLimit":"2000.00"}</t>
  </si>
  <si>
    <t>ACC-03</t>
  </si>
  <si>
    <t>Verify that account creation rejects invalid person ID</t>
  </si>
  <si>
    <t>{"personId":"00000000-0000-0000"
,"dailyWithdrawalLimit":"2000.00"}</t>
  </si>
  <si>
    <t>ACC-04</t>
  </si>
  <si>
    <t>Verify that each newly created account receives a unique account number</t>
  </si>
  <si>
    <t>ACC-05</t>
  </si>
  <si>
    <t>Verify that created account can be retrieved by ID</t>
  </si>
  <si>
    <t>accountId=&lt;valid-account-id&gt;</t>
  </si>
  <si>
    <t>ACC-06</t>
  </si>
  <si>
    <t>Verify that requesting a non-existing account returns an appropriate error</t>
  </si>
  <si>
    <t>ACC-07</t>
  </si>
  <si>
    <t>Verify that the accounts list is returned successfully</t>
  </si>
  <si>
    <t>N/A</t>
  </si>
  <si>
    <t>ACC-08</t>
  </si>
  <si>
    <t>Verify that accounts can be filtered by personId</t>
  </si>
  <si>
    <t>ACC-09</t>
  </si>
  <si>
    <t>Verify that accounts pagination works correctly</t>
  </si>
  <si>
    <t>ACC-10</t>
  </si>
  <si>
    <t>Verify that account details contain the correct account information</t>
  </si>
  <si>
    <t>BAL-01</t>
  </si>
  <si>
    <t>Verify that the current balance is returned for a valid account</t>
  </si>
  <si>
    <t>Send a GET request to /api/v1/accounts/&lt;account-id&gt;/balance.</t>
  </si>
  <si>
    <t>BAL-02</t>
  </si>
  <si>
    <t>Verify that the returned balance matches the account's actual balance</t>
  </si>
  <si>
    <t>1. Send a GET request to /api/v1/accounts/&lt;account-id&gt;/balance.
2. Compare the returned balance with the account's actual balance.</t>
  </si>
  <si>
    <t>BAL-03</t>
  </si>
  <si>
    <t>Verify that balance can be retrieved for an account with zero balance</t>
  </si>
  <si>
    <t>BAL-04</t>
  </si>
  <si>
    <t>Verify that requesting balance for a non-existing account returns an appropriate error</t>
  </si>
  <si>
    <t>1. Send a GET request to /api/v1/accounts/&lt;account-id&gt;/balance.</t>
  </si>
  <si>
    <t>BAL-05</t>
  </si>
  <si>
    <t>Verify that the balance is updated correctly after a successful deposit</t>
  </si>
  <si>
    <t>1. Record the current balance.
2. Send a POST request to /api/v1/accounts/&lt;account-id&gt;/deposit.
3. Set Content-Type: application/json.
4. Retrieve the account balance using GET /api/v1/accounts/&lt;account-id&gt;/balance.</t>
  </si>
  <si>
    <t>Deposit amount: 100.00
Request Body: {"amount":"100.00"}
Expected balance: &lt;initial-balance + 100.00&gt;</t>
  </si>
  <si>
    <t>BAL-06</t>
  </si>
  <si>
    <t>Verify that the balance is updated correctly after a successful withdrawal</t>
  </si>
  <si>
    <t>1. Record the current balance.
2. Send a POST request to /api/v1/accounts/&lt;account-id&gt;/withdraw.
3. Set Content-Type: application/json.
4. Retrieve the account balance using GET /api/v1/accounts/&lt;account-id&gt;/balance.</t>
  </si>
  <si>
    <t>BAL-07</t>
  </si>
  <si>
    <t>Verify that a failed transaction does not change the balance</t>
  </si>
  <si>
    <t>1. Record the current balance.
2. Send a POST request to /api/v1/accounts/&lt;account-id&gt;/withdraw.
3. Set Content-Type: application/json.
4. Retrieve the balance using GET /api/v1/accounts/&lt;account-id&gt;/balance</t>
  </si>
  <si>
    <t>DEP-01</t>
  </si>
  <si>
    <t>DEP-02</t>
  </si>
  <si>
    <t>DEP-03</t>
  </si>
  <si>
    <t>Verify that depositing zero amount is rejected</t>
  </si>
  <si>
    <t>1. Send a POST request to /api/v1/accounts/&lt;account-id&gt;/deposit.
2. Set Content-Type: application/json.</t>
  </si>
  <si>
    <t>Request Body: {"amount":"0.00"}</t>
  </si>
  <si>
    <t>DEP-04</t>
  </si>
  <si>
    <t>Verify that depositing a negative amount is rejected</t>
  </si>
  <si>
    <t>DEP-05</t>
  </si>
  <si>
    <t>Verify that depositing an invalid amount format is rejected</t>
  </si>
  <si>
    <t>Request Body: {"amount":"abc"}</t>
  </si>
  <si>
    <t>DEP-06</t>
  </si>
  <si>
    <t>Verify that depositing into a non-existing account is rejected</t>
  </si>
  <si>
    <t>1. Send a POST request to /api/v1/accounts/&lt;account-id&gt;/deposit.
2. Use a non-existing account ID.</t>
  </si>
  <si>
    <t>DEP-07</t>
  </si>
  <si>
    <t>Verify that depositing into a blocked account is rejected</t>
  </si>
  <si>
    <t>1. Send a POST request to /api/v1/accounts/&lt;blocked-account-id&gt;/deposit.
2. Set Content-Type: application/json.</t>
  </si>
  <si>
    <t>DEP-08</t>
  </si>
  <si>
    <t>Verify that a failed deposit does not modify the account balance</t>
  </si>
  <si>
    <t>1. Record the current balance.
2. Send a deposit request using invalid transaction data.
3. Retrieve the account balance.</t>
  </si>
  <si>
    <t>DEP-09</t>
  </si>
  <si>
    <t>Verify that the deposit amount is stored with the correct decimal precision</t>
  </si>
  <si>
    <t>DEP-10</t>
  </si>
  <si>
    <t>Verify that repeating a deposit with the same Idempotency-Key does not create a duplicate transaction</t>
  </si>
  <si>
    <t>1. Send a POST request to /api/v1/accounts/&lt;account-id&gt;/deposit.
2. Add an Idempotency-Key header.
3. Repeat the exact same request using the same Idempotency-Key.
4. Check the account statement/balance.</t>
  </si>
  <si>
    <t>DEP-11</t>
  </si>
  <si>
    <t>Verify that reusing the same Idempotency-Key with a different request body is rejected</t>
  </si>
  <si>
    <t>1. Send a POST request with an Idempotency-Key.
2. Send a valid deposit.
3. Send another request using the same Idempotency-Key but a different amount.
4. Compare the responses and account balance.</t>
  </si>
  <si>
    <t>Verify that a deposit response contains the correct transaction information</t>
  </si>
  <si>
    <t>1. Send a POST request to /api/v1/accounts/&lt;account-id&gt;/deposit.
2. Set Content-Type: application/json.
3. Add a valid deposit amount.
4. Verify the response body.</t>
  </si>
  <si>
    <t>{"amount":"100.00"}</t>
  </si>
  <si>
    <t>WDL-01</t>
  </si>
  <si>
    <t>WDL-02</t>
  </si>
  <si>
    <t>Verify that the withdrawal transaction is recorded successfully</t>
  </si>
  <si>
    <t>1. Send a POST request to /api/v1/accounts/&lt;account-id&gt;/withdraw.
2. Set Content-Type: application/json.
3. Retrieve the account statement using GET /api/v1/accounts/&lt;account-id&gt;/statement.</t>
  </si>
  <si>
    <t>WDL-03</t>
  </si>
  <si>
    <t>Verify that withdrawing zero amount is rejected</t>
  </si>
  <si>
    <t>1. Send a POST request to /api/v1/accounts/&lt;account-id&gt;/withdraw.
2. Set Content-Type: application/json.</t>
  </si>
  <si>
    <t>{"amount":"0.00"}</t>
  </si>
  <si>
    <t>WDL-04</t>
  </si>
  <si>
    <t>Verify that withdrawing a negative amount is rejected</t>
  </si>
  <si>
    <t>WDL-05</t>
  </si>
  <si>
    <t>Verify that withdrawing an invalid amount format is rejected</t>
  </si>
  <si>
    <t>1. Send a POST request to /api/v1/accounts/&lt;account-id&gt;/withdraw.
2. Set Content-Type: application/json.
3. Add an invalid amount format.</t>
  </si>
  <si>
    <t>{"amount":"abc"}</t>
  </si>
  <si>
    <t>WDL-06</t>
  </si>
  <si>
    <t>Verify that withdrawal exceeding the available balance is rejected</t>
  </si>
  <si>
    <t>1. Record the current balance.
2. Send a POST request to /api/v1/accounts/&lt;account-id&gt;/withdraw.
3. Add an amount greater than the available balance.</t>
  </si>
  <si>
    <t>Initial balance: 100.00
{"amount":"150.00"}</t>
  </si>
  <si>
    <t>WDL-07</t>
  </si>
  <si>
    <t>Verify that withdrawing from a non-existing account is rejected</t>
  </si>
  <si>
    <t>1. Send a POST request to /api/v1/accounts/&lt;account-id&gt;/withdraw.
2. Use a non-existing account ID.</t>
  </si>
  <si>
    <t>WDL-08</t>
  </si>
  <si>
    <t>Verify that withdrawing from a blocked account is rejected</t>
  </si>
  <si>
    <t>1. Send a POST request to /api/v1/accounts/&lt;blocked-account-id&gt;/withdraw.
2. Set Content-Type: application/json.</t>
  </si>
  <si>
    <t>WDL-09</t>
  </si>
  <si>
    <t>Verify that a failed withdrawal does not modify the account balance</t>
  </si>
  <si>
    <t>1. Record the current balance.
2. Send a POST request to /api/v1/accounts/&lt;account-id&gt;/withdraw.
3. Use an amount greater than the available balance.
4. Retrieve the balance using GET /api/v1/accounts/&lt;account-id&gt;/balance.</t>
  </si>
  <si>
    <t>WDL-10</t>
  </si>
  <si>
    <t>Verify that the withdrawal amount is stored with the correct decimal precision</t>
  </si>
  <si>
    <t>WDL-11</t>
  </si>
  <si>
    <t>Verify that repeating a withdrawal with the same Idempotency-Key does not create a duplicate transaction</t>
  </si>
  <si>
    <t>1. Send a POST request to /api/v1/accounts/&lt;account-id&gt;/withdraw.
2. Add an Idempotency-Key header.
3. Repeat the exact same request using the same key.
4. Check the balance and account statement.</t>
  </si>
  <si>
    <t>WDL-12</t>
  </si>
  <si>
    <t>1. Send a POST request with an Idempotency-Key
2. Send a withdrawal request.
3. Send another request using the same key but with a different amount.
4. Compare the responses and account balance.</t>
  </si>
  <si>
    <t>Verify that a withdrawal response contains the correct transaction information</t>
  </si>
  <si>
    <t>1. Send a POST request to /api/v1/accounts/&lt;account-id&gt;/withdraw.
2. Set Content-Type: application/json.
3. Add a valid withdrawal amount. 4Verify the response body.</t>
  </si>
  <si>
    <t>BLK-01</t>
  </si>
  <si>
    <t>Verify that an active account can be blocked successfully</t>
  </si>
  <si>
    <t>1. Send a POST request to /api/v1/accounts/&lt;account-id&gt;/block.
2. Set Content-Type: application/json.</t>
  </si>
  <si>
    <t>BLK-02</t>
  </si>
  <si>
    <t>Verify that the account status changes to blocked</t>
  </si>
  <si>
    <t>1. Record the current account status.
2. Send a POST request to /api/v1/accounts/&lt;account-id&gt;/block.
3. Send a GET request to /api/v1/accounts/&lt;account-id&gt;.
4. Verify the account status.</t>
  </si>
  <si>
    <t>BLK-03</t>
  </si>
  <si>
    <t>Verify that blocking a non-existing account returns an appropriate error</t>
  </si>
  <si>
    <t>1. Send a POST request to /api/v1/accounts/&lt;account-id&gt;/block.
2. Use a non-existing account ID.</t>
  </si>
  <si>
    <t>BLK-04</t>
  </si>
  <si>
    <t>Verify the behavior when attempting to block an already blocked account</t>
  </si>
  <si>
    <t>1. Send a POST request to /api/v1/accounts/&lt;account-id&gt;/block.
2. Verify the response.
3. Retrieve the account using GET /api/v1/accounts/&lt;account-id&gt;.
4. Verify that the account remains blocked.</t>
  </si>
  <si>
    <t>STM-01</t>
  </si>
  <si>
    <t>Verify that the statement is retrieved successfully for a valid account</t>
  </si>
  <si>
    <t>1. Send a GET request to /api/v1/accounts/&lt;account-id&gt;/statement.
2. Verify the response status and body.</t>
  </si>
  <si>
    <t>STM-02</t>
  </si>
  <si>
    <t>Verify that the statement contains the account's transactions</t>
  </si>
  <si>
    <t>1. Record the account's existing transactions.
2. Send a GET request to /api/v1/accounts/&lt;account-id&gt;/statement.
3. Compare the returned transactions with the account's recorded transactions.</t>
  </si>
  <si>
    <t>STM-03</t>
  </si>
  <si>
    <t>Verify that deposit transactions appear correctly in the statement</t>
  </si>
  <si>
    <t>STM-04</t>
  </si>
  <si>
    <t>Verify that withdrawal transactions appear correctly in the statement</t>
  </si>
  <si>
    <t>STM-05</t>
  </si>
  <si>
    <t>Verify that the statement can be filtered using from date</t>
  </si>
  <si>
    <t>1. Send a GET request to /api/v1/accounts/&lt;account-id&gt;/statement.
2. Add the from query parameter.
3. Verify the dates of returned transactions.</t>
  </si>
  <si>
    <t>STM-06</t>
  </si>
  <si>
    <t>Verify that the statement can be filtered using to date</t>
  </si>
  <si>
    <t>1. Send a GET request to /api/v1/accounts/&lt;account-id&gt;/statement.
2. Add the to query parameter.
3. Verify the dates of returned transactions.</t>
  </si>
  <si>
    <t>STM-07</t>
  </si>
  <si>
    <t>Verify that the statement respects the requested limit</t>
  </si>
  <si>
    <t>1. Send a GET request to /api/v1/accounts/&lt;account-id&gt;/statement.
2. Add the limit query parameter.
3. Count the returned transactions.</t>
  </si>
  <si>
    <t>STM-08</t>
  </si>
  <si>
    <t>Verify that statement pagination using cursor works correctly</t>
  </si>
  <si>
    <t>STM-09</t>
  </si>
  <si>
    <t>Verify that an empty statement is returned for an account with no transactions</t>
  </si>
  <si>
    <t>1. Send a GET request to /api/v1/accounts/&lt;account-id&gt;/statement.
2. Verify the response body.</t>
  </si>
  <si>
    <t>STM-10</t>
  </si>
  <si>
    <t>Verify that requesting a statement for a non-existing account returns an appropriate error</t>
  </si>
  <si>
    <t>1. Send a GET request to /api/v1/accounts/&lt;account-id&gt;/statement.
2. Use a non-existing account ID.</t>
  </si>
  <si>
    <t>PER-01</t>
  </si>
  <si>
    <t>Verify that the persons list is returned successfully</t>
  </si>
  <si>
    <t>1. Send a GET request to /api/v1/persons
2. Verify the response status and body.</t>
  </si>
  <si>
    <t>PER-02</t>
  </si>
  <si>
    <t>Verify that a person can be retrieved by valid ID</t>
  </si>
  <si>
    <t>1. Send a GET request to /api/v1/persons/&lt;person-id&gt;.
2. Verify the response status and body.</t>
  </si>
  <si>
    <t>PER-03</t>
  </si>
  <si>
    <t>Verify that requesting a non-existing person returns an appropriate error</t>
  </si>
  <si>
    <t>1. Send a GET request to /api/v1/persons/&lt;person-id&gt;.
2. Use a non-existing person ID.</t>
  </si>
  <si>
    <t>PER-04</t>
  </si>
  <si>
    <t>Verify that persons pagination works correctly</t>
  </si>
  <si>
    <t>1. Send a GET request to /api/v1/persons.
2. Verify the number of returned persons.
3.Request the next page. 4 . Verify that the returned records are different from the previous page and pagination works correctly.</t>
  </si>
  <si>
    <t>PER-05</t>
  </si>
  <si>
    <t>Verify that the returned person data matches the stored data</t>
  </si>
  <si>
    <t>1. Send a GET request to /api/v1/persons/&lt;person-id&gt;.
2. Compare the returned person fields with the stored/expected data.</t>
  </si>
  <si>
    <t>IDE-01</t>
  </si>
  <si>
    <t>Verify that a mutating request succeeds without an Idempotency-Key</t>
  </si>
  <si>
    <t>1. Send a POST request to /api/v1/accounts/&lt;account-id&gt;/deposit.
2. Set Content-Type: application/json.
3. Do not add an Idempotency-Key header.
4. Verify the response and account balance.</t>
  </si>
  <si>
    <t>IDE-02</t>
  </si>
  <si>
    <t>Verify that different Idempotency-Keys create separate valid transactions</t>
  </si>
  <si>
    <t>1. Send a POST request to /api/v1/accounts/&lt;account-id&gt;/deposit.
2. Add Idempotency-Key: IDE-001.
3. Send another POST request to the same endpoint.
4. Use a different Idempotency-Key.</t>
  </si>
  <si>
    <t>IDE-03</t>
  </si>
  <si>
    <t>Verify Idempotency-Key behavior within the defined 24-hour retention window</t>
  </si>
  <si>
    <t>1. Send a POST request to /api/v1/accounts/&lt;account-id&gt;/deposit.
2. Add an Idempotency-Key header.
3. Repeat the same request within the configured 24-hour retention window.
4. Verify the account statement and balance.</t>
  </si>
  <si>
    <t>RTL-01</t>
  </si>
  <si>
    <t>Verify that requests within the allowed rate limit are processed successfully</t>
  </si>
  <si>
    <t>1. Send multiple valid requests to a mutating endpoint within the configured rate limit.
2. Keep the requests within the allowed request count and time window.
3. Verify the response of each request.
4. Check the returned rate-limit headers.</t>
  </si>
  <si>
    <t>RTL-02</t>
  </si>
  <si>
    <t>Verify that exceeding the IP rate limit returns 429 Too Many Requests</t>
  </si>
  <si>
    <t>RTL-03</t>
  </si>
  <si>
    <t>Verify that exceeding the account rate limit for deposits returns 429</t>
  </si>
  <si>
    <t>1. Send valid POST requests to /api/v1/accounts/&lt;account-id&gt;/deposit repeatedly for the same account.
2. Continue until the configured per-account limit is exceeded.
3. Verify the next request response.</t>
  </si>
  <si>
    <t>RTL-04</t>
  </si>
  <si>
    <t>Verify that exceeding the account rate limit for withdrawals returns 429</t>
  </si>
  <si>
    <t>1. Send valid POST requests to /api/v1/accounts/&lt;account-id&gt;/withdraw repeatedly for the same account.
2. Continue until the configured per-account limit is exceeded.
3. Verify the next request response.</t>
  </si>
  <si>
    <t>Endpoint: POST /api/v1/accounts/&lt;account-id&gt;/withdraw
Body: {"amount":"1.00"}
Default account limit: 30 requests/min</t>
  </si>
  <si>
    <t>RTL-05</t>
  </si>
  <si>
    <t>Verify that rate-limit response contains the appropriate rate-limit headers</t>
  </si>
  <si>
    <t>1. Trigger the configured rate limit.
2. Send another request after the limit is exceeded.
3. Inspect the response headers.
4. Verify the rate-limit header values.</t>
  </si>
  <si>
    <t>Expected headers:
X-RateLimit-Limit
X-RateLimit-Remaining
X-RateLimit-Reset</t>
  </si>
  <si>
    <t>RTL-06</t>
  </si>
  <si>
    <t>Verify that Retry-After is returned when the rate limit is exceeded</t>
  </si>
  <si>
    <t>1. Trigger the configured rate limit.
2. Send another request after the limit is exceeded.
3. Inspect the response headers.
4. Verify the Retry-After value.</t>
  </si>
  <si>
    <t>Endpoint: Any rate-limited mutating endpoint
Expected Status: 429
Expected Header: Retry-After</t>
  </si>
  <si>
    <t>API-01</t>
  </si>
  <si>
    <t>Verify that response bodies follow the expected structure</t>
  </si>
  <si>
    <t>1. Send GET /api/v1/accounts/&lt;account-id&gt;.
2. Check the response status code and Content-Type.
3. Verify that the response body is valid JSON and contains the required fields.</t>
  </si>
  <si>
    <t>API-02</t>
  </si>
  <si>
    <t>Verify that unsupported HTTP methods are rejected appropriately</t>
  </si>
  <si>
    <t>1. Send PUT /api/v1/accounts/&lt;account-id&gt;/balance.
2. Check the response status and body.
3. Send GET /api/v1/accounts/&lt;account-id&gt;/balance.
4. Verify that the balance remains unchanged.</t>
  </si>
  <si>
    <t>API-03</t>
  </si>
  <si>
    <t>Verify that invalid account IDs are handled correctly</t>
  </si>
  <si>
    <t>1. Send GET /api/v1/accounts/not-a-valid-id.
2. Check the response status code and body.
3. Verify that no internal error details are exposed.</t>
  </si>
  <si>
    <t>API-04</t>
  </si>
  <si>
    <t>Verify that malformed request bodies are rejected</t>
  </si>
  <si>
    <t>1. Record the current balance.
2. Send POST /api/v1/accounts/&lt;account-id&gt;/deposit.
3. Send the malformed JSON body.
4. Retrieve the balance again.</t>
  </si>
  <si>
    <t>API-05</t>
  </si>
  <si>
    <t>Verify that validation errors contain meaningful error information</t>
  </si>
  <si>
    <t>1. Send POST /api/v1/accounts/&lt;account-id&gt;/deposit.
2. Include the negative amount in the request body.
3. Inspect the error response.
4. Verify the error message and response structure.</t>
  </si>
  <si>
    <t>RID-01</t>
  </si>
  <si>
    <t>Verify that the API returns the client-provided X-Request-Id</t>
  </si>
  <si>
    <t>1. Send GET /api/v1/accounts with the specified header.
2. Check the response headers.
3. Verify the returned ID matches the submitted value.</t>
  </si>
  <si>
    <t>RID-02</t>
  </si>
  <si>
    <t>Verify that the API generates a UUIDv4 X-Request-Id when none is provided</t>
  </si>
  <si>
    <t>1. Send GET /api/v1/accounts without the header.
2. Check the response headers.
3. Verify that the ID exists and follows UUIDv4 format.</t>
  </si>
  <si>
    <t>Do not send the X-Request-Id header.</t>
  </si>
  <si>
    <t>HLT-01</t>
  </si>
  <si>
    <t>Verify that the health endpoint returns a successful response when the application is healthy</t>
  </si>
  <si>
    <t>HLT-02</t>
  </si>
  <si>
    <t>Verify that the readiness endpoint reports the correct system status</t>
  </si>
  <si>
    <t>1. Send a GET request to /api/v1/health/ready.
2. Verify the response status code.
3. Inspect the response body for the readiness status.
4. Compare the result with the actual system state.</t>
  </si>
  <si>
    <t>HLT-03</t>
  </si>
  <si>
    <t>HLT-04</t>
  </si>
  <si>
    <t>Verify that the metrics endpoint is accessible</t>
  </si>
  <si>
    <t>1. Send a GET request to /api/v1/metrics
2. Verify the response status code.
3. Inspect the response body. . 4. Verify that the returned content follows the expected metrics format.</t>
  </si>
  <si>
    <t>Verify that transaction metrics are updated after successful transactions</t>
  </si>
  <si>
    <t>1. Send GET /api/v1/metrics and record the relevant transaction metric values.
2. Perform a successful deposit.
3. Request GET /api/v1/metrics again.
4. Compare the values and verify the expected update.</t>
  </si>
  <si>
    <t>A valid account and a successful deposit
request, e.g. {"amount":"100.00"}</t>
  </si>
  <si>
    <t>DB-01</t>
  </si>
  <si>
    <t>Verify that a newly created account is stored correctly in PostgreSQL</t>
  </si>
  <si>
    <t>1.Send POST /api/v1/accounts with valid account data.
2.Record the returned account ID
3.Query the account record in PostgreSQL
4.Compare the stored values with the request and API response</t>
  </si>
  <si>
    <t>Valid personId and unique account number,
if supplied by the API.</t>
  </si>
  <si>
    <t>DB-02</t>
  </si>
  <si>
    <t>Verify that a deposit creates the correct transaction record</t>
  </si>
  <si>
    <t>1.Send POST /api/v1/accounts/{accountId}/deposit
2.Record the transaction details from the response
3.Query the transaction record in PostgreSQL
4.Compare the stored values with the expected values</t>
  </si>
  <si>
    <t>DB-03</t>
  </si>
  <si>
    <t>Verify that a successful deposit updates the account balance correctly</t>
  </si>
  <si>
    <t>1.Query the initial account balance in PostgreSQL.
2.Deposit 100.00.
3.Query the balance again
4.Compare the stored balance with the expected balance.</t>
  </si>
  <si>
    <t>DB-04</t>
  </si>
  <si>
    <t>Verify that a withdrawal creates the correct transaction record</t>
  </si>
  <si>
    <t>1.Send POST /api/v1/accounts/{accountId}/withdraw
2.Record the transaction details from the response
3.Query the transaction record in PostgreSQL
4.Compare the stored values with the expected values</t>
  </si>
  <si>
    <t>DB-05</t>
  </si>
  <si>
    <t>Verify that a successful withdrawal updates the account balance correctly</t>
  </si>
  <si>
    <t>1.Query the initial account balance in PostgreSQL
2.Withdraw 100.00.
3.Query the balance again.
4.Compare the stored balance with the expected balance.</t>
  </si>
  <si>
    <t>DB-06</t>
  </si>
  <si>
    <t>Verify that a failed transaction does not create an invalid transaction record</t>
  </si>
  <si>
    <t>1.Record the account's current balance and relevant transaction records
2.Submit a withdrawal exceeding the available balance.
3.Query PostgreSQL for a transaction associated with the failed request.
4.Verify that no invalid transaction record was created</t>
  </si>
  <si>
    <t>DB-07</t>
  </si>
  <si>
    <t>Verify that a failed transaction does not modify the account balance</t>
  </si>
  <si>
    <t>1.Query and record the initial balance in PostgreSQL
2.Submit a withdrawal exceeding the available balance
3.Query the account balance again.
4.Compare the initial and final balances.</t>
  </si>
  <si>
    <t>DB-08</t>
  </si>
  <si>
    <t>Verify that duplicate transactions are prevented by the database constraint</t>
  </si>
  <si>
    <t>1.Inspect the database schema to identify the unique constraint
2.Insert a valid test record
3.Attempt to insert another record that violates the same constraint
4.Verify that PostgreSQL rejects the duplicate</t>
  </si>
  <si>
    <t>Two records with the same values for the
fields covered by the identified unique constraint</t>
  </si>
  <si>
    <t>DB-09</t>
  </si>
  <si>
    <t>Verify that account numbers are unique</t>
  </si>
  <si>
    <t>1.Create an account with a unique account number
2.Attempt to insert a second account with the same account number
3.Inspect the database result.
4.Verify that the duplicate account number is rejected.</t>
  </si>
  <si>
    <t>An existing account number reused in a
second account record</t>
  </si>
  <si>
    <t>DB-10</t>
  </si>
  <si>
    <t>Verify that transaction amounts preserve the expected decimal precision</t>
  </si>
  <si>
    <t>DB-11</t>
  </si>
  <si>
    <t>Verify that account status is updated correctly after blocking</t>
  </si>
  <si>
    <t>1.Query the current account status in PostgreSQL.
2.Send POST /api/v1/accounts/{accountId}/block.
3.Query the account record again.
4.Confirm that the stored status is blocked.</t>
  </si>
  <si>
    <t>DB-12</t>
  </si>
  <si>
    <t>Verify that statement data matches the underlying transaction records</t>
  </si>
  <si>
    <t>1.Create a successful deposit and withdrawal.
2.Retrieve GET /api/v1/accounts/{accountId}/statement.
3.Query the corresponding transaction records in PostgreSQL.
4.Compare the statement entries with the stored records.
5.Verify transaction types, amounts, and applicable dates.</t>
  </si>
  <si>
    <t>Account ID with at least one successful
deposit and one successful withdrawal</t>
  </si>
  <si>
    <t>Test Execution Summary</t>
  </si>
  <si>
    <t>Count</t>
  </si>
  <si>
    <t>Pass</t>
  </si>
  <si>
    <t>Fail</t>
  </si>
  <si>
    <t>Blocked</t>
  </si>
  <si>
    <t>Total Test Cases</t>
  </si>
  <si>
    <t>Execution Progress</t>
  </si>
  <si>
    <t>Executed (Pass + Fail) / Total</t>
  </si>
  <si>
    <t>Pass Rate</t>
  </si>
  <si>
    <t>Pass / (Pass + Fail)</t>
  </si>
  <si>
    <t>1. Send a POST request to http://localhost:3000/api/v1/accounts
2. Set Content-Type: application/json.
3. Add the request body.</t>
  </si>
  <si>
    <t>{"personId":"c6200202-444b-4863-84fb-6ec5c5268158"
,"dailyWithdrawalLimit":"2000.00"}</t>
  </si>
  <si>
    <t>Account was created successfully. The API returned 201 Created with a generated account ID and account number. The response contained the correct person ID, balance 0.0000, daily withdrawal limit 2000.0000, isBlocked = false, and non-null createdAt. Both blockedAt and blockedReason were nulم</t>
  </si>
  <si>
    <t>Account creation response matches the expected result. Database persistence has not been verified yet</t>
  </si>
  <si>
    <t>1. Send a POST request to http://localhost:3000/api/v1/accounts.
2. Set Content-Type: application/json.
3. Send the request with the required personId missing.</t>
  </si>
  <si>
    <t>API returned 400 Bad Request with error BadRequest, message personId must be a UUID, and code VALIDATION_ERROR. Account creation request was rejected.</t>
  </si>
  <si>
    <t>Missing personId was rejected by request validation.</t>
  </si>
  <si>
    <t>API returned 400 Bad Request with validation message personId must be a UUID and error code VALIDATION_ERROR. The request was rejected.</t>
  </si>
  <si>
    <t>Invalid UUID format was rejected during request validation.</t>
  </si>
  <si>
    <t>API created a new account successfully and returned a new account ID 14e3299a-ac1f-4170-90f1-b0cf6f6ba7d0 with account number 0000006, different from the previously created account number 0000005.</t>
  </si>
  <si>
    <t>Request 1: {"personId":"c6200202-444b-4863-84fb-6ec5c5268158",
"dailyWithdrawalLimit":"2000.00"}
Request 2: {"personId":"c6200202-444b-4863-84fb-6ec5c5268158",
"dailyWithdrawalLimit":"2000.00"}</t>
  </si>
  <si>
    <t>Account numbers were different across the two successful account creation requests.</t>
  </si>
  <si>
    <t>API returned the requested account details successfully, including the matching account ID, person ID, account number 0000006, balance 0.0000, daily withdrawal limit 2000.0000, and account status isBlocked = false.</t>
  </si>
  <si>
    <t>1. Send a POST request to http://localhost:3000/api/v1/accounts
2. Set Content-Type: application/json.
3. Add an invalid/non-existing personId.</t>
  </si>
  <si>
    <t>1. Send a POST request to http://localhost:3000/api/v1/accounts for the first Person.
2. Send another POST request to /api/v1/accounts for another Person.
3. Compare the returned account numbers.</t>
  </si>
  <si>
    <t>Send a GET request to: http://localhost:3000/api/v1/accounts/14e3299a-ac1f-4170-90f1-b0cf6f6ba7d0</t>
  </si>
  <si>
    <t>Retrieved account ID matches the ID supplied in the request.</t>
  </si>
  <si>
    <t>1. Send a GET request to http://localhost:3000/api/v1/accounts/aaaaaaaa-aaaa-4aaa-8aaa-aaaaaaaaaaaa
2. Use an ID that does not exist.</t>
  </si>
  <si>
    <t>accountId=aaaaaaaa-aaaa-4aaa-8aaa-aaaaaaaaaaaa</t>
  </si>
  <si>
    <t>API returned 404 Not Found with message Account aaaaaaaa-aaaa-4aaa-8aaa-aaaaaaaaaaaa not found and error code ACCOUNT_NOT_FOUND.</t>
  </si>
  <si>
    <t>Retested using a valid UUID format. The API correctly returned 404 for a non-existing account.</t>
  </si>
  <si>
    <t>API returned 200 OK and successfully retrieved the accounts list. Both previously created accounts, with account numbers 0000005 and 0000006, were present in the response.</t>
  </si>
  <si>
    <t>Verified that the list endpoint returns the two accounts created during testing.</t>
  </si>
  <si>
    <t>Send a GET request to http://localhost:3000/api/v1/accounts.</t>
  </si>
  <si>
    <t>API returned 200 OK and retrieved 3 accounts associated with the specified personId, including the two accounts created during testing.</t>
  </si>
  <si>
    <t>personId=c6200202-444b-4863-84fb-6ec5c5268158</t>
  </si>
  <si>
    <t>1. Send a GET request to http://localhost:3000/api/v1/accounts?personId=c6200202-444b-4863-84fb-6ec5c5268158
2. Verify the returned accounts.</t>
  </si>
  <si>
    <t>The response included accounts linked to the requested person ID.</t>
  </si>
  <si>
    <t>limit=2&amp;cursor="eyJ0cyI6IjIwMjYtMTAtMDVUMTU6Mjc6MjEuMzI1WiIsImlkIjoiZTBmZDU3MDAtMTAwYy00YmI0LWFmMzctZTJiYWU5Zjg0ODNkIn0"</t>
  </si>
  <si>
    <t>1.Send a GET request to http://localhost:3000/api/v1/accounts?limit=2 and leave cursor empty.
2.Verify that the response returns HTTP 200 and no more than 2 accounts.
3.Verify that nextCursor contains a value and hasMore is true when more results are available.
4.Copy the returned nextCursor and send another GET request using limit=2 and the copied cursor.
5.Repeat the request using the latest nextCursor until the final page is reached.
6.Verify that the final response contains nextCursor = null and hasMore = false.
7.Compare account IDs across all retrieved pages to check for duplicate records.</t>
  </si>
  <si>
    <t>API returned HTTP 200 for all three pages. Each page returned 2 accounts for limit=2. The cursor successfully retrieved subsequent pages, with nextCursor = null and hasMore = false on the final page. No duplicate account IDs were found across the three pages.</t>
  </si>
  <si>
    <t>Verified page size, cursor navigation, final-page indicators, and uniqueness of account IDs across pages.</t>
  </si>
  <si>
    <t>The account returned by GET /accounts matched the details returned by GET /accounts/{id}. Account ID, account number 0000006, person ID, balance 0.0000, and daily withdrawal limit 2000.0000 were consistent across both responses.</t>
  </si>
  <si>
    <t>1. Send a GET request to http://localhost:3000/api/v1/accounts/14e3299a-ac1f-4170-90f1-b0cf6f6ba7d0
2. Compare the returned account information with the account data stored/created.</t>
  </si>
  <si>
    <t>accountId=14e3299a-ac1f-4170-90f1-b0cf6f6ba7d0</t>
  </si>
  <si>
    <t>Verified consistency between the account list and individual account details endpoints.</t>
  </si>
  <si>
    <t>Send a GET request to http://localhost:3000/api/v1/accounts/14e3299a-ac1f-4170-90f1-b0cf6f6ba7d0/balance.</t>
  </si>
  <si>
    <t>API returned 200 OK with the requested accountId, current balance 0.0000, and an asOf timestamp indicating when the balance was retrieved.</t>
  </si>
  <si>
    <t>Returned account ID matches the requested account, and the balance matches the previously retrieved account details.</t>
  </si>
  <si>
    <t>The balance returned by the balance endpoint (0.0000) matches the account balance returned by the account details endpoint (0.0000).</t>
  </si>
  <si>
    <t>Balance consistency verified across both endpoints</t>
  </si>
  <si>
    <t>accountId=14e3299a-ac1f-4170-90f1-b0cf6f6ba7d0
Expected balance: 0.00</t>
  </si>
  <si>
    <t>The balance endpoint successfully returned the account balance as 0.0000 for an account with zero balance.</t>
  </si>
  <si>
    <t>Verified that an account with zero balance can be retrieved successfully without errors</t>
  </si>
  <si>
    <t>The API returned 404 Not Found with error code ACCOUNT_NOT_FOUND and message Account aaaaaaaa-aaaa-4aaa-8aaa-aaaaaaaaaaaa not found.</t>
  </si>
  <si>
    <t>Verified that requesting the balance of a non-existing account returns the appropriate error response.</t>
  </si>
  <si>
    <t>After a successful deposit of 100.00, the deposit response returned balanceAfter = 100.0000. A subsequent balance request returned balance = 100.0000.</t>
  </si>
  <si>
    <t>Verified that the account balance is updated correctly after a successful deposit</t>
  </si>
  <si>
    <t>Withdrawal amount: 30.00
Request Body: {"amount":"30.00"}
Expected balance: &lt;initial-balance - 30.00&gt;</t>
  </si>
  <si>
    <t>After a successful withdrawal of 30.00, the withdrawal response returned balanceAfter = 70.0000. A subsequent balance request returned balance = 70.0000.</t>
  </si>
  <si>
    <t>Verified that the account balance is updated correctly after a successful withdrawal</t>
  </si>
  <si>
    <t>The withdrawal of 100.00 was rejected with 409 Conflict and error code INSUFFICIENT_FUNDS. A subsequent balance request confirmed that the balance remained 70.0000.</t>
  </si>
  <si>
    <t>Initial balance: 70.00
Request Body: {"amount":"100.00"}</t>
  </si>
  <si>
    <t>Verified that a failed withdrawal does not change the account balance</t>
  </si>
  <si>
    <t>Verify that a deposit transaction is recorded with the correct amount and transaction type.</t>
  </si>
  <si>
    <t>Account ID: 14e3299a-ac1f-4170-90f1-b0cf6f6ba7d0                                               Deposit Amount: 50.00</t>
  </si>
  <si>
    <t>The API returned a successful deposit transaction response containing a valid transaction ID, the correct account ID, transaction type deposit, amount 50.0000, balanceAfter 120.0000, and createdAt timestamp.</t>
  </si>
  <si>
    <t>Verified that the deposit transaction details are returned correctly</t>
  </si>
  <si>
    <t>The API rejected the deposit request with 400 Bad Request and error code VALIDATION_ERROR. The response message stated: amount must not be less than 0.0001.</t>
  </si>
  <si>
    <t>Verified that depositing zero amount is rejected by API validation.</t>
  </si>
  <si>
    <t>Request Body: {"amount":"-10.00"}</t>
  </si>
  <si>
    <t>Verified that depositing a negative amount is rejected by API validation</t>
  </si>
  <si>
    <t>The API rejected the invalid amount "abc" with 400 Bad Request and error code VALIDATION_ERROR. The response indicated that the amount must be numeric and within the allowed range.</t>
  </si>
  <si>
    <t>Verified that a non-numeric deposit amount is rejected by API validation</t>
  </si>
  <si>
    <t>accountId=aaaaaaaa-aaaa-4aaa-8aaa-aaaaaaaaaaaa
{"amount":"10.00"}</t>
  </si>
  <si>
    <t>The API rejected the deposit request with 404 Not Found and error code ACCOUNT_NOT_FOUND, indicating that the specified account does not exist.</t>
  </si>
  <si>
    <t>Verified that deposits to non-existing accounts are rejected</t>
  </si>
  <si>
    <t>accountId=e0fd5700-100c-4bb4-af37-e2bae9f8483d
{"amount":"10.00"}</t>
  </si>
  <si>
    <t>The API rejected the deposit request with 409 Conflict and error code ACCOUNT_BLOCKED, indicating that the account is blocked.</t>
  </si>
  <si>
    <t>Verified that deposits to blocked accounts are rejected</t>
  </si>
  <si>
    <t>{"amount":"0.00"}
Initial balance: 120</t>
  </si>
  <si>
    <t>The deposit request was rejected with 400 Bad Request and error code VALIDATION_ERROR. The account balance remained unchanged at 120.0000 before and after the failed deposit.</t>
  </si>
  <si>
    <t>Verified that a failed deposit does not modify the account balance</t>
  </si>
  <si>
    <t>{"amount":"12.3456"}</t>
  </si>
  <si>
    <t>The deposit request succeeded with amount 12.3456. The API returned amount: 12.3456 and balanceAfter: 132.3456. The Balance endpoint confirmed the balance as 132.3456, preserving all four decimal places.</t>
  </si>
  <si>
    <t>Verified that deposit amounts and account balances preserve four-decimal precision</t>
  </si>
  <si>
    <t>Header: Idempotency-Key: DEP-TEST-001
Body: {"amount":"10.00"}</t>
  </si>
  <si>
    <t>Repeating the deposit request with the same Idempotency-Key returned the original transaction response with the same transaction ID 3ec08c0a-281c-42c2-b098-74fcc4aa566f, amount 10.0000, and balanceAfter 142.3456. No duplicate deposit was created.</t>
  </si>
  <si>
    <t>Verified that repeated deposit requests with the same Idempotency-Key do not create duplicate transactions.</t>
  </si>
  <si>
    <t>Header: Idempotency-Key: DEP-TEST-001
Body: {"amount":"15.00"}</t>
  </si>
  <si>
    <t>The API rejected the request with 409 Conflict and error code IDEMPOTENCY_CONFLICT. The response message stated that the Idempotency-Key was reused with a different request body.</t>
  </si>
  <si>
    <t>Verified that reusing an Idempotency-Key with a different request body is rejected.</t>
  </si>
  <si>
    <t>{
  "amount": "7.50"
}</t>
  </si>
  <si>
    <t>The API returned a successful deposit response containing a valid transaction ID, the correct account ID, transaction type deposit, amount 7.5000, balanceAfter 149.8456, and a valid createdAt timestamp.</t>
  </si>
  <si>
    <t>Verified that the deposit response contains the expected transaction information</t>
  </si>
  <si>
    <t>{"amount":"20.00"}</t>
  </si>
  <si>
    <t>The API returned 201 Created with a valid transaction ID, the correct account ID, transaction type withdrawal, amount 20.0000, and balanceAfter 129.8456.</t>
  </si>
  <si>
    <t>Verified that a successful withdrawal transaction is recorded and the response contains the expected transaction details.</t>
  </si>
  <si>
    <t>The API rejected the withdrawal request with 400 Bad Request and error code VALIDATION_ERROR. The response message stated: amount must not be less than 0.0001.</t>
  </si>
  <si>
    <t>Verified that withdrawing zero amount is rejected by API validation</t>
  </si>
  <si>
    <t>Verified that withdrawing a negative amount is rejected by API validation</t>
  </si>
  <si>
    <t>The API rejected the invalid withdrawal amount "abc" with 400 Bad Request and error code VALIDATION_ERROR. The response indicated that the amount must be numeric and within the allowed range.</t>
  </si>
  <si>
    <t>Verified that a non-numeric withdrawal amount is rejected by API validation</t>
  </si>
  <si>
    <t>Initial balance: 129.8456
{"amount":"200.00"}</t>
  </si>
  <si>
    <t>The API rejected the withdrawal request with 409 Conflict and error code INSUFFICIENT_FUNDS, indicating that the account has insufficient funds.</t>
  </si>
  <si>
    <t>Verified that withdrawals exceeding the available balance are rejected</t>
  </si>
  <si>
    <t>The API rejected the withdrawal request with 404 Not Found and error code ACCOUNT_NOT_FOUND, indicating that the specified account does not exist.</t>
  </si>
  <si>
    <t>Verified that withdrawals from non-existing accounts are rejected</t>
  </si>
  <si>
    <t>The API rejected the withdrawal request with 409 Conflict and error code ACCOUNT_BLOCKED, indicating that the account is blocked.</t>
  </si>
  <si>
    <t>Verified that withdrawals from blocked accounts are rejected</t>
  </si>
  <si>
    <t>The withdrawal request for 200.00 was rejected with 409 Conflict and error code INSUFFICIENT_FUNDS. The subsequent balance check returned 129.8456, confirming that the failed withdrawal did not modify the account balance.</t>
  </si>
  <si>
    <t>Verified that a failed withdrawal does not modify the account balance</t>
  </si>
  <si>
    <t>1. Send a POST request to /api/v1/accounts/&lt;account-id&gt;/withdraw.
2. Set Content-Type: application/json.
3. Add a withdrawal amount with four decimal places.
4. Retrieve the account balance.</t>
  </si>
  <si>
    <t>1. Send a POST request to /api/v1/accounts/&lt;account-id&gt;/deposit.
2. Add a deposit amount containing decimal places.
3. Retrieve the account balance.</t>
  </si>
  <si>
    <t>{
  "amount": "1.2345"
}</t>
  </si>
  <si>
    <t>The withdrawal request succeeded with amount 1.2345. The API returned amount: 1.2345 and balanceAfter: 128.6111. The Balance endpoint confirmed the balance as 128.6111, preserving four-decimal precision.</t>
  </si>
  <si>
    <t>Verified that withdrawal amounts and account balances preserve four-decimal precision.</t>
  </si>
  <si>
    <t>Header: Idempotency-Key: withdraw-test-001
Body: {"amount":"5.00"}</t>
  </si>
  <si>
    <t>Repeating the withdrawal request with the same Idempotency-Key returned the original transaction response with the same transaction ID add57333-8ab2-462a-9f16-6e6d14a61e96, amount 5.0000, and balanceAfter 123.6111. No duplicate withdrawal was created.</t>
  </si>
  <si>
    <t>Verified that repeated withdrawal requests with the same Idempotency-Key do not create duplicate transactions.</t>
  </si>
  <si>
    <t>First Header: Header: Idempotency-Key: withdraw-test-001
First Body: {"amount":"5.00"}
Second Body: {"amount":"8.00"}</t>
  </si>
  <si>
    <t>Verified that reusing an Idempotency-Key with a different withdrawal request body is rejected</t>
  </si>
  <si>
    <t>{"amount":"3.50"}</t>
  </si>
  <si>
    <t>The API returned a successful withdrawal response containing a valid transaction ID, the correct account ID, transaction type withdrawal, amount 3.5000, balanceAfter 120.1111, and a valid createdAt timestamp.</t>
  </si>
  <si>
    <t>Verified that the withdrawal response contains the expected transaction information</t>
  </si>
  <si>
    <t>accountId=55f813e7-c00d-4648-9994-0a410861639b
Request Body: {
  "reason": "QA testing - account blocking"
}</t>
  </si>
  <si>
    <t>Account blocked successfully; isBlocked=true, blockedAt populated, and blockedReason saved correctly</t>
  </si>
  <si>
    <t>Account blocked successfully. Verified that `isBlocked` is `true`, `blockedAt` contains a timestamp, and `blockedReason` was saved correctly.</t>
  </si>
  <si>
    <t>Account status is correctly returned as blocked (isBlocked=true)</t>
  </si>
  <si>
    <t>Verified that the account status remains blocked after retrieving the account details. The `isBlocked` value is `true`, and the blocking timestamp and reason are preserved.</t>
  </si>
  <si>
    <t>accountId=aaaaaaaa-aaaa-4aaa-8aaa-aaaaaaaaaaaa
Request Body: {
  "reason": "QA testing - account blocking"
}</t>
  </si>
  <si>
    <t xml:space="preserve">accountId=55f813e7-c00d-4648-9994-0a410861639b
</t>
  </si>
  <si>
    <t>API returned 404 Not Found with error code ACCOUNT_NOT_FOUND for a non-existing account.</t>
  </si>
  <si>
    <t>Verified that the API rejects blocking a non-existing account and returns the appropriate 404 error response with code `ACCOUNT_NOT_FOUND`.</t>
  </si>
  <si>
    <t>API returned 200 OK. The account remained blocked, and the original blockedAt and blockedReason values were preserved.</t>
  </si>
  <si>
    <t>Repeated blocking of an already blocked account returned 200 OK. The account remained blocked, and the original blocking timestamp and reason were preserved.</t>
  </si>
  <si>
    <t>{"amount":"-10.00"}</t>
  </si>
  <si>
    <t xml:space="preserve">accountId=14e3299a-ac1f-4170-90f1-b0cf6f6ba7d0
</t>
  </si>
  <si>
    <t>Statement retrieved successfully with 10 transactions, correct account ID, transaction details, and pagination fields.</t>
  </si>
  <si>
    <t>Verified that the statement endpoint returns a valid response containing 10 transactions for the requested account. Transaction details and pagination fields were returned correctly, with no additional pages available.</t>
  </si>
  <si>
    <t>Verified that all 10 previously executed successful deposit and withdrawal transactions appear in the account statement with their expected transaction IDs, types, and amounts.</t>
  </si>
  <si>
    <t>All 10 previously executed successful deposit and withdrawal transactions were returned in the account statement with their expected transaction IDs, types, and amounts.</t>
  </si>
  <si>
    <t>All five deposit transactions appeared in the statement with the correct transaction IDs, type (deposit), and amounts.</t>
  </si>
  <si>
    <t>Verified that all five deposit transactions are displayed correctly in the account statement with their expected IDs, transaction types, and amounts.</t>
  </si>
  <si>
    <t>1. Record a successful deposit transactions.
2. Send a GET request to /api/v1/accounts/&lt;account-id&gt;/statement
3. Locate the deposit transaction in the response.
4. Verify its details.</t>
  </si>
  <si>
    <t>1. Record a successful withdrawal transactions.
2. Send a GET request to /api/v1/accounts/&lt;account-id&gt;/statement.
3. Locate the withdrawal transaction in the response.
4. Verify its details.</t>
  </si>
  <si>
    <t>All five withdrawal transactions appeared in the statement with the correct transaction IDs, type (withdrawal), and amounts.</t>
  </si>
  <si>
    <t>Verified that all five withdrawal transactions are displayed correctly in the account statement with their expected IDs, transaction types, and amounts.</t>
  </si>
  <si>
    <t>accountId=14e3299a-ac1f-4170-90f1-b0cf6f6ba7d0
?from=2026-10-12T00:00:00.000Z</t>
  </si>
  <si>
    <t>The API returned 200 OK with 7 transactions dated October 12, 2026 or later. Transactions from October 11, 2026 were excluded as expected.</t>
  </si>
  <si>
    <t>Verified that the `from` date filter includes transactions on or after the specified timestamp and excludes older transactions.</t>
  </si>
  <si>
    <t>accountId=14e3299a-ac1f-4170-90f1-b0cf6f6ba7d0
?to=2026-10-11T23:59:59.999Z</t>
  </si>
  <si>
    <t>The API returned 200 OK with 3 transactions dated on or before October 11, 2026. Transactions from October 12, 2026 were excluded as expected.</t>
  </si>
  <si>
    <t>Verified that the `to` date filter includes transactions up to the specified timestamp and excludes newer transactions.</t>
  </si>
  <si>
    <t>The API returned 200 OK with exactly 3 transactions as requested by the limit parameter. The response included a non-null nextCursor and hasMore=true, indicating additional transactions are available.</t>
  </si>
  <si>
    <t>accountId=14e3299a-ac1f-4170-90f1-b0cf6f6ba7d0
?limit=3</t>
  </si>
  <si>
    <t>Verified that the statement respects the requested limit and correctly indicates the availability of additional pages through nextCursor and hasMore.</t>
  </si>
  <si>
    <t>All 10 transactions were retrieved across 4 pages (3+3+3+1) without duplicates. Each page respected the requested limit, and the final page returned nextCursor=null and hasMore=false.</t>
  </si>
  <si>
    <t>1. Send a GET request to /api/v1/accounts/&lt;account-id&gt;/statement?limit=3.
2. Capture the returned cursor for the next page.
3. Send another GET request using the returned cursor.
4. Compare transactions from both pages and repeat the process.</t>
  </si>
  <si>
    <t>First Request: accountId=14e3299a-ac1f-4170-90f1-b0cf6f6ba7d0
?limit=2
Second Request:?limit=3&amp;cursor=&lt;returned-cursor&gt;</t>
  </si>
  <si>
    <t>Cursor-based pagination returned all transactions correctly without duplicates or missing records.</t>
  </si>
  <si>
    <t>accountId=55f813e7-c00d-4648-9994-0a410861639b</t>
  </si>
  <si>
    <t>The API returned 200 OK with an empty transactions array, nextCursor=null, and hasMore=false for an account with no transactions.</t>
  </si>
  <si>
    <t>The statement correctly returns an empty result when the account has no transactions.</t>
  </si>
  <si>
    <t>The API returned 404 Not Found with error code ACCOUNT_NOT_FOUND when requesting a statement for a non-existing account.</t>
  </si>
  <si>
    <t>The API correctly handles statement requests for non-existing accounts.</t>
  </si>
  <si>
    <t>The API returned 200 OK with an items array containing 4 persons. Each person includes id, document, fullName, birthDate, and createdAt. Pagination fields were returned with nextCursor=null and hasMore=false.</t>
  </si>
  <si>
    <t>The persons list was returned successfully with the expected person details and pagination structure.</t>
  </si>
  <si>
    <t>The API returned 200 OK with the correct person details, including id, document, fullName, birthDate, and createdAt. The returned data matched the person record in the persons list.</t>
  </si>
  <si>
    <t>The API successfully retrieved the person by a valid ID, and the returned details were consistent with the persons list.</t>
  </si>
  <si>
    <t>personId=aaaaaaaa-aaaa-4aaa-8aaa-aaaaaaaaaaaa</t>
  </si>
  <si>
    <t>The API returned 404 Not Found with error code PERSON_NOT_FOUND when requesting a non-existing person ID.</t>
  </si>
  <si>
    <t>The API correctly handles requests for non-existing persons.</t>
  </si>
  <si>
    <t>?limit=2
Next page: ?limit=2&amp;cursor= eyJ0cyI6IjIwMjYtMTAtMDVUMTU6Mjc6MjEuMzIwWiIsImlkIjoiNzdkMjYyYjYtMzFkZi00NzJmLWJlN2QtZThhZjE0ZmVjYjIyIn0</t>
  </si>
  <si>
    <t>The API returned all 4 persons across 2 pages with limit=2. Both pages contained 2 unique persons without duplicates or missing records. The final page returned nextCursor=null and hasMore=false.</t>
  </si>
  <si>
    <t>Cursor-based pagination returned all persons correctly and respected the requested limit.</t>
  </si>
  <si>
    <t>The API returned 200 OK. The person's id, document, fullName, birthDate, and createdAt matched the corresponding record returned by the persons list endpoint.</t>
  </si>
  <si>
    <t xml:space="preserve"> Person details were consistent across the list and GET-by-ID endpoints. Direct PostgreSQL verification is deferred to the Database module.</t>
  </si>
  <si>
    <t>The deposit request succeeded without an Idempotency-Key header and returned 200 OK with transactionId 0584995c-e56c-463a-a4a3-3fc53e7ebc68, amount 1.0000, and balanceAfter 121.1111.</t>
  </si>
  <si>
    <t>accountId=14e3299a-ac1f-4170-90f1-b0cf6f6ba7d0
Headers: Content-Type: application/json
Body: {"amount":"1.00"}</t>
  </si>
  <si>
    <t>The mutating request succeeded without an Idempotency-Key header.</t>
  </si>
  <si>
    <t>First Request:Idempotency-Key: different-key-001
{"amount":"2.00"}
Second Request:Idempotency-Key: different-key-002
{"amount":"2.00"}</t>
  </si>
  <si>
    <t>Two deposit requests with different Idempotency-Key values both returned 201 Created and generated distinct transaction IDs. Each transaction recorded amount 2.0000, and the balance increased from 121.1111 to 123.1111, then to 125.1111.</t>
  </si>
  <si>
    <t>Different Idempotency-Key values allowed separate valid transactions.</t>
  </si>
  <si>
    <t>accountId=14e3299a-ac1f-4170-90f1-b0cf6f6ba7d0
Idempotency-Key: idem-24h-qa-001
Body: {"amount":"2.00"}</t>
  </si>
  <si>
    <t>Repeated request with the same Idempotency-Key returned the same transaction ID and response. The account balance remained 127.1111, indicating the deposit was not applied twice.</t>
  </si>
  <si>
    <t>Repeated the same deposit request using the same Idempotency-Key. Both requests returned 201 Created with the same transaction ID, and the account balance remained unchanged at 127.1111, confirming that the deposit was not processed twice. Database-level verification is pending if required by the test case.</t>
  </si>
  <si>
    <t>Endpoint: POST /api/v1/accounts/14e3299a-ac1f-4170-90f1-b0cf6f6ba7d0
Body: {"amount":"10.00"}
Requests: within configured limit
Default account limit: 30 requests/min</t>
  </si>
  <si>
    <t>All 25 deposit requests returned 201 Created within 60 seconds.</t>
  </si>
  <si>
    <t>The 25 requests were processed successfully within the configured limit of 30 requests per account per 60-second window.</t>
  </si>
  <si>
    <t>The first 32 deposit requests were processed successfully, while requests starting from the 33rd returned 429 Too Many Requests with error code RATE_LIMITED.</t>
  </si>
  <si>
    <t>The rate limiter blocked additional deposit requests after the configured per-account limit was reached. The observed behavior is consistent with rate limiting, although the exact threshold depends on previous requests within the same 60-second window.</t>
  </si>
  <si>
    <t>Endpoint: POST /api/v1/accounts/&lt;account-id&gt;/deposit
Body: {"amount":"10.00"}
Default account limit: 30 requests/min</t>
  </si>
  <si>
    <t>The first 100 requests were processed successfully. The 101st request returned 429 Too Many Requests with error code RATE_LIMITED.</t>
  </si>
  <si>
    <t>The API correctly enforced the configured IP rate limit of 100 requests per 60-second window. The request exceeding the limit was rejected as expected.</t>
  </si>
  <si>
    <t>1. Send balance requests repeatedly from the same client/IP to a mutating endpoint.
2. Continue sending requests until the configured IP limit is exceeded within the same time window.
3. Verify the response after exceeding the limit.</t>
  </si>
  <si>
    <t>Default IP limit: 100 requests/min</t>
  </si>
  <si>
    <t>The first 30 withdrawal requests were processed successfully. Starting from the 31st request, the API returned 429 Too Many Requests with error code RATE_LIMITED.</t>
  </si>
  <si>
    <t>The API correctly enforced the account rate limit of 30 withdrawal requests per 60-second window. Additional requests were rejected as expected.</t>
  </si>
  <si>
    <t>The rate-limit response contains the headers X-RateLimit-Limit: 100, X-RateLimit-Remaining: 48, and X-RateLimit-Reset: 10.</t>
  </si>
  <si>
    <t>The response includes rate-limit headers indicating the configured request limit, remaining requests, and reset interval. The values were present in the response headers.</t>
  </si>
  <si>
    <t>The Retry-After header was returned when the deposit rate limit was exceeded, with a value of 29 seconds.</t>
  </si>
  <si>
    <t>The API provides a Retry-After header indicating that the client should wait 29 seconds before retrying the request. This behavior is consistent with the expected rate-limiting response.</t>
  </si>
  <si>
    <t>The GET Account API returned a valid JSON response containing the expected account fields, including id, personId, accountNumber, balance, dailyWithdrawalLimit, isBlocked, blockedAt, blockedReason, and createdAt.</t>
  </si>
  <si>
    <t>Response structure and data types appear consistent with the expected account details structure. Final status depends on matching the original expected result.</t>
  </si>
  <si>
    <t>The PUT request was rejected with an appropriate HTTP error response. The subsequent GET request returned the account balance unchanged.</t>
  </si>
  <si>
    <t>The API correctly rejects unsupported HTTP methods for the balance endpoint and prevents unauthorized modification of the account balance.</t>
  </si>
  <si>
    <t>The API returned an appropriate client error response for the invalid account ID, with no internal error details exposed in the response body.</t>
  </si>
  <si>
    <t>Verified that the error response does not expose internal system details</t>
  </si>
  <si>
    <t>accountId=14e3299a-ac1f-4170-90f1-b0cf6f6ba7d0
Body: {"amount":</t>
  </si>
  <si>
    <t>The API returned 400 Bad Request with the message "Unexpected end of JSON input" and error code VALIDATION_ERROR.</t>
  </si>
  <si>
    <t>The API correctly rejected the malformed JSON request and returned an appropriate client error response without processing the request.</t>
  </si>
  <si>
    <t>accountId=14e3299a-ac1f-4170-90f1-b0cf6f6ba7d0
Body: {"amount":"-100.00"}</t>
  </si>
  <si>
    <t>The API returned 400 Bad Request with error code VALIDATION_ERROR and a clear validation message: "amount must not be less than 0.0001".</t>
  </si>
  <si>
    <t>The validation error provides meaningful information identifying the invalid amount value and specifying the minimum allowed amount, helping the client understand how to correct the request.</t>
  </si>
  <si>
    <t>X-Request-Id: 11111111-1111-4111-8111-111111111111</t>
  </si>
  <si>
    <t>The API returned the same valid UUID provided in the `X-Request-Id` request header in the response header.</t>
  </si>
  <si>
    <t>The API correctly preserves and returns a valid client-provided request ID. Invalid or missing request IDs are expected to be replaced with a server-generated UUID.</t>
  </si>
  <si>
    <t>The API generated a UUIDv4 and returned it in the `X-Request-Id` response header when no request ID was provided.</t>
  </si>
  <si>
    <t>The API correctly generates a valid UUIDv4 request ID when the client does not provide the `X-Request-Id` header.</t>
  </si>
  <si>
    <t>The API returned `200 OK` with the response body `{"status": "ok"}`.</t>
  </si>
  <si>
    <t>The health endpoint responded successfully, indicating that the application is healthy and available.</t>
  </si>
  <si>
    <t>The readiness endpoint returned `200 OK` with status `ok`. PostgreSQL and Redis reported status `up`, and the expected migration matched the applied migration. The `error` object was empty.</t>
  </si>
  <si>
    <t>The readiness endpoint correctly reported that the application dependencies are available and the database migrations are up to date. The application is ready to handle requests.</t>
  </si>
  <si>
    <t xml:space="preserve">  </t>
  </si>
  <si>
    <t>The metrics endpoint returned 200 OK with Prometheus-formatted metrics, including HTTP request duration metrics such as `http_request_duration_seconds_sum` and `http_request_duration_seconds_bucket`.</t>
  </si>
  <si>
    <t>The metrics endpoint is accessible and exposes HTTP request performance metrics in Prometheus format.</t>
  </si>
  <si>
    <t>The `banking_transactions_total` counter for successful deposits increased from 54 to 55 after a successful deposit transaction. Withdrawal success and deposit failure counters remained unchanged.</t>
  </si>
  <si>
    <t>Transaction metrics are updated correctly after a successful transaction. The counter incremented by one for the corresponding transaction type and outcome.</t>
  </si>
  <si>
    <t>The newly created account (0000007) was found in PostgreSQL with the expected personId, an initial balance of 0.0000, a daily withdrawal limit of 2000.0000, and blocked status set to false.</t>
  </si>
  <si>
    <t>Verified the account data in PostgreSQL using DBeaver. All checked field values matched the expected results.</t>
  </si>
  <si>
    <t>A deposit transaction record was successfully found in PostgreSQL with transaction ID e918326b-10a2-47bf-bd34-852f53105254, transaction type "deposit", amount 100.0000, resulting balance 100.0000, and creation timestamp 2026-10-18 22:10:47.269 +0300.</t>
  </si>
  <si>
    <t>Verified the deposit transaction record in PostgreSQL using DBeaver. The transaction amount and resulting balance were recorded as 100.0000. Confirm that the transaction is linked to the intended account and matches the successful deposit API request.</t>
  </si>
  <si>
    <t>Initial balance: 100.00; deposit: 100.00
expected balance: 200.00</t>
  </si>
  <si>
    <t>The account balance was correctly updated to 200.0000 in PostgreSQL after two successful deposits of 100.0000 each.</t>
  </si>
  <si>
    <t>Verified the account balance in DBeaver. The initial balance was 0.0000, and two deposits of 100.0000 resulted in a final balance of 200.0000, matching the expected result.</t>
  </si>
  <si>
    <t>A withdrawal transaction was successfully recorded in PostgreSQL with transaction ID 054c1360-a223-4c81-8a5b-d73ab18e25bc, transaction type "withdrawal", amount 50.0000, and resulting balance 150.0000.</t>
  </si>
  <si>
    <t>{"amount":"50.00"}</t>
  </si>
  <si>
    <t>Verified the withdrawal transaction record in PostgreSQL using DBeaver. The transaction was linked to account 0000007, and the resulting balance of 150.0000 matched the expected balance after withdrawing 50.0000 from 200.0000.</t>
  </si>
  <si>
    <t>Initial balance: 150.00; withdrawal: 50.00;
expected balance: 100.00</t>
  </si>
  <si>
    <t>The account balance was correctly updated to 100.0000 in PostgreSQL after two successful deposits of 100.0000 each and two successful withdrawals of 50.0000 each.</t>
  </si>
  <si>
    <t>Verified the account balance in DBeaver. The final balance of 100.0000 matched the expected balance calculated from the recorded deposit and withdrawal operations.</t>
  </si>
  <si>
    <t>Initial balance: 100.00;
withdrawal request: {"amount":"500"}</t>
  </si>
  <si>
    <t>No withdrawal transaction record with an amount of 500.0000 was found in PostgreSQL after the failed withdrawal attempt.</t>
  </si>
  <si>
    <t>Verified the transactions table using DBeaver. The query returned a count of 0 matching withdrawal records, confirming that the failed withdrawal did not create a transaction record for the attempted amount.</t>
  </si>
  <si>
    <t>The account balance remained unchanged at 100.0000 in PostgreSQL after the failed withdrawal attempt of 500.0000.</t>
  </si>
  <si>
    <t>Verified the account balance in DBeaver after the failed withdrawal attempt. The balance remained 100.0000, confirming that the failed transaction did not modify the account balance.</t>
  </si>
  <si>
    <t>Only one withdrawal transaction record was found in PostgreSQL for the idempotency key QA-DB-008-20261018-01, although the withdrawal request was submitted twice.</t>
  </si>
  <si>
    <t>Verified duplicate transaction prevention using DBeaver. The query returned a count of 1 for the account and idempotency key, confirming that the repeated request did not create a duplicate transaction record.</t>
  </si>
  <si>
    <t>The query returned no records, confirming that no duplicate account numbers were found in the accounts table.</t>
  </si>
  <si>
    <t>Executed a GROUP BY query with HAVING COUNT(*) &gt; 1 in DBeaver. No duplicate account numbers were detected in the existing database records.</t>
  </si>
  <si>
    <t>1.Execute a query to retrieve the data type, precision, and scale of the amount column in the transactions table..
2.Execute a SQL query to retrieve transaction amounts from the transactions table.
3.Inspect the stored amounts and compare them with the original transaction amounts.
4.Verify a transaction containing fractional decimal digits, such as 12.3456, if available.</t>
  </si>
  <si>
    <t>Transaction amounts were stored in PostgreSQL with four decimal places, as shown by values such as 10.0000, 50.0000, and 100.0000.</t>
  </si>
  <si>
    <t>Verified the amount column definition as NUMERIC(19,4) and inspected stored transaction amounts using DBeaver. The retrieved values preserved four decimal places without visible precision loss.</t>
  </si>
  <si>
    <t>The account status was successfully updated to blocked = true in PostgreSQL after the block account API request was executed.</t>
  </si>
  <si>
    <t>ID of an existing active a49c9532-5004-435e-b8d2-13e7fd9e84b1</t>
  </si>
  <si>
    <t>Verified the account status in DBeaver before and after the blocking operation. The blocked value changed from false to true, confirming that the account status was updated correctly in the database.</t>
  </si>
  <si>
    <t>The account statement returned by the API matched the transaction records stored in PostgreSQL, including transaction types, amounts, resulting balances, and transaction timestamps for the five recorded transactions.</t>
  </si>
  <si>
    <t>Compared the account statement API response with the corresponding records in the PostgreSQL transactions table using DBeaver. All five transactions matched in the verified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</si>
</sst>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0" x14ac:knownFonts="1">
    <font>
      <sz val="11"/>
      <color theme="1"/>
      <name val="Calibri"/>
      <family val="2"/>
      <charset val="1"/>
    </font>
    <font>
      <b/>
      <sz val="10"/>
      <color rgb="FFFFFFFF"/>
      <name val="Arial"/>
      <charset val="1"/>
    </font>
    <font>
      <b/>
      <sz val="10"/>
      <name val="Arial"/>
      <charset val="1"/>
    </font>
    <font>
      <sz val="10"/>
      <name val="Arial"/>
      <charset val="1"/>
    </font>
    <font>
      <b/>
      <sz val="14"/>
      <color rgb="FF1F4E78"/>
      <name val="Arial"/>
      <charset val="1"/>
    </font>
    <font>
      <b/>
      <sz val="11"/>
      <color rgb="FFFFFFFF"/>
      <name val="Arial"/>
      <charset val="1"/>
    </font>
    <font>
      <i/>
      <sz val="9"/>
      <color rgb="FF595959"/>
      <name val="Arial"/>
      <charset val="1"/>
    </font>
    <font>
      <b/>
      <sz val="11"/>
      <color rgb="FF1F4E78"/>
      <name val="Arial"/>
      <charset val="1"/>
    </font>
    <font>
      <sz val="8"/>
      <name val="Calibri"/>
      <family val="2"/>
      <charset val="1"/>
    </font>
    <font>
      <sz val="10"/>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top" wrapText="1"/>
    </xf>
    <xf numFmtId="0" fontId="3" fillId="0" borderId="1" xfId="0" applyFont="1" applyBorder="1" applyAlignment="1">
      <alignment horizontal="left" vertical="top" wrapText="1"/>
    </xf>
    <xf numFmtId="0" fontId="4" fillId="0" borderId="0" xfId="0" applyFont="1"/>
    <xf numFmtId="0" fontId="5" fillId="2" borderId="1" xfId="0" applyFont="1" applyFill="1" applyBorder="1" applyAlignment="1">
      <alignment horizontal="center"/>
    </xf>
    <xf numFmtId="0" fontId="3" fillId="0" borderId="1" xfId="0" applyFont="1" applyBorder="1"/>
    <xf numFmtId="0" fontId="3" fillId="0" borderId="1" xfId="0" applyFont="1" applyBorder="1" applyAlignment="1">
      <alignment horizontal="center"/>
    </xf>
    <xf numFmtId="0" fontId="2" fillId="0" borderId="1" xfId="0" applyFont="1" applyBorder="1"/>
    <xf numFmtId="0" fontId="2" fillId="0" borderId="1" xfId="0" applyFont="1" applyBorder="1" applyAlignment="1">
      <alignment horizontal="center"/>
    </xf>
    <xf numFmtId="165" fontId="2" fillId="0" borderId="1" xfId="0" applyNumberFormat="1" applyFont="1" applyBorder="1" applyAlignment="1">
      <alignment horizontal="center"/>
    </xf>
    <xf numFmtId="0" fontId="6" fillId="0" borderId="0" xfId="0" applyFont="1"/>
    <xf numFmtId="0" fontId="7" fillId="0" borderId="0" xfId="0" applyFont="1"/>
    <xf numFmtId="0" fontId="3" fillId="0" borderId="0" xfId="0" applyFont="1"/>
    <xf numFmtId="0" fontId="0" fillId="0" borderId="0" xfId="0" applyAlignment="1">
      <alignment vertical="center"/>
    </xf>
    <xf numFmtId="0" fontId="3" fillId="0" borderId="1" xfId="0" applyFont="1" applyBorder="1" applyAlignment="1">
      <alignment horizontal="center" vertical="center" wrapText="1"/>
    </xf>
    <xf numFmtId="0" fontId="0" fillId="0" borderId="0" xfId="0" applyAlignment="1">
      <alignment horizontal="center" vertical="center"/>
    </xf>
    <xf numFmtId="164" fontId="3" fillId="0" borderId="1" xfId="0" applyNumberFormat="1" applyFont="1" applyBorder="1" applyAlignment="1">
      <alignment horizontal="center" vertical="center" wrapText="1"/>
    </xf>
    <xf numFmtId="0" fontId="9" fillId="0" borderId="1" xfId="0" applyFont="1" applyBorder="1" applyAlignment="1">
      <alignment horizontal="left" vertical="top" wrapText="1"/>
    </xf>
    <xf numFmtId="0" fontId="9" fillId="0" borderId="1" xfId="0" applyFont="1" applyBorder="1" applyAlignment="1">
      <alignment horizontal="center" vertical="center" wrapText="1"/>
    </xf>
  </cellXfs>
  <cellStyles count="1">
    <cellStyle name="Normal" xfId="0" builtinId="0"/>
  </cellStyles>
  <dxfs count="4">
    <dxf>
      <font>
        <b/>
        <color rgb="FF595959"/>
        <name val="Arial"/>
        <charset val="1"/>
      </font>
      <fill>
        <patternFill>
          <bgColor rgb="FFE7E6E6"/>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E7E6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70AD47"/>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5B6"/>
    <pageSetUpPr fitToPage="1"/>
  </sheetPr>
  <dimension ref="A1:I496"/>
  <sheetViews>
    <sheetView tabSelected="1" zoomScaleNormal="100" workbookViewId="0">
      <pane xSplit="1" ySplit="1" topLeftCell="D89" activePane="bottomRight" state="frozen"/>
      <selection pane="topRight" activeCell="B1" sqref="B1"/>
      <selection pane="bottomLeft" activeCell="A2" sqref="A2"/>
      <selection pane="bottomRight" activeCell="F91" sqref="F91"/>
    </sheetView>
  </sheetViews>
  <sheetFormatPr defaultColWidth="8.6640625" defaultRowHeight="14.4" x14ac:dyDescent="0.3"/>
  <cols>
    <col min="1" max="1" width="12" customWidth="1"/>
    <col min="2" max="2" width="46" customWidth="1"/>
    <col min="3" max="3" width="58" customWidth="1"/>
    <col min="4" max="4" width="43.21875" customWidth="1"/>
    <col min="5" max="5" width="40" customWidth="1"/>
    <col min="6" max="7" width="14" style="16" customWidth="1"/>
    <col min="8" max="8" width="16" style="14" customWidth="1"/>
    <col min="9" max="9" width="38" customWidth="1"/>
  </cols>
  <sheetData>
    <row r="1" spans="1:9" ht="25.5" customHeight="1" x14ac:dyDescent="0.3">
      <c r="A1" s="1" t="s">
        <v>0</v>
      </c>
      <c r="B1" s="1" t="s">
        <v>1</v>
      </c>
      <c r="C1" s="1" t="s">
        <v>2</v>
      </c>
      <c r="D1" s="1" t="s">
        <v>3</v>
      </c>
      <c r="E1" s="1" t="s">
        <v>4</v>
      </c>
      <c r="F1" s="1" t="s">
        <v>5</v>
      </c>
      <c r="G1" s="1" t="s">
        <v>6</v>
      </c>
      <c r="H1" s="1" t="s">
        <v>7</v>
      </c>
      <c r="I1" s="1" t="s">
        <v>8</v>
      </c>
    </row>
    <row r="2" spans="1:9" ht="105.6" x14ac:dyDescent="0.3">
      <c r="A2" s="2" t="s">
        <v>9</v>
      </c>
      <c r="B2" s="3" t="s">
        <v>10</v>
      </c>
      <c r="C2" s="3" t="s">
        <v>288</v>
      </c>
      <c r="D2" s="3" t="s">
        <v>289</v>
      </c>
      <c r="E2" s="3" t="s">
        <v>290</v>
      </c>
      <c r="F2" s="15" t="s">
        <v>280</v>
      </c>
      <c r="G2" s="15" t="s">
        <v>27</v>
      </c>
      <c r="H2" s="17">
        <v>46305</v>
      </c>
      <c r="I2" s="3" t="s">
        <v>291</v>
      </c>
    </row>
    <row r="3" spans="1:9" ht="52.8" x14ac:dyDescent="0.3">
      <c r="A3" s="2" t="s">
        <v>12</v>
      </c>
      <c r="B3" s="3" t="s">
        <v>13</v>
      </c>
      <c r="C3" s="3" t="s">
        <v>292</v>
      </c>
      <c r="D3" s="3" t="s">
        <v>14</v>
      </c>
      <c r="E3" s="3" t="s">
        <v>293</v>
      </c>
      <c r="F3" s="15" t="s">
        <v>280</v>
      </c>
      <c r="G3" s="15" t="s">
        <v>27</v>
      </c>
      <c r="H3" s="17">
        <v>46305</v>
      </c>
      <c r="I3" s="3" t="s">
        <v>294</v>
      </c>
    </row>
    <row r="4" spans="1:9" ht="52.8" x14ac:dyDescent="0.3">
      <c r="A4" s="2" t="s">
        <v>15</v>
      </c>
      <c r="B4" s="3" t="s">
        <v>16</v>
      </c>
      <c r="C4" s="3" t="s">
        <v>301</v>
      </c>
      <c r="D4" s="3" t="s">
        <v>17</v>
      </c>
      <c r="E4" s="3" t="s">
        <v>295</v>
      </c>
      <c r="F4" s="15" t="s">
        <v>280</v>
      </c>
      <c r="G4" s="15" t="s">
        <v>27</v>
      </c>
      <c r="H4" s="17">
        <v>46305</v>
      </c>
      <c r="I4" s="3" t="s">
        <v>296</v>
      </c>
    </row>
    <row r="5" spans="1:9" ht="79.2" x14ac:dyDescent="0.3">
      <c r="A5" s="2" t="s">
        <v>18</v>
      </c>
      <c r="B5" s="3" t="s">
        <v>19</v>
      </c>
      <c r="C5" s="3" t="s">
        <v>302</v>
      </c>
      <c r="D5" s="3" t="s">
        <v>298</v>
      </c>
      <c r="E5" s="3" t="s">
        <v>297</v>
      </c>
      <c r="F5" s="15" t="s">
        <v>280</v>
      </c>
      <c r="G5" s="15" t="s">
        <v>27</v>
      </c>
      <c r="H5" s="17">
        <v>46305</v>
      </c>
      <c r="I5" s="3" t="s">
        <v>299</v>
      </c>
    </row>
    <row r="6" spans="1:9" ht="79.2" x14ac:dyDescent="0.3">
      <c r="A6" s="2" t="s">
        <v>20</v>
      </c>
      <c r="B6" s="3" t="s">
        <v>21</v>
      </c>
      <c r="C6" s="3" t="s">
        <v>303</v>
      </c>
      <c r="D6" s="3" t="s">
        <v>22</v>
      </c>
      <c r="E6" s="3" t="s">
        <v>300</v>
      </c>
      <c r="F6" s="15" t="s">
        <v>280</v>
      </c>
      <c r="G6" s="15" t="s">
        <v>27</v>
      </c>
      <c r="H6" s="17">
        <v>46305</v>
      </c>
      <c r="I6" s="3" t="s">
        <v>304</v>
      </c>
    </row>
    <row r="7" spans="1:9" ht="52.8" x14ac:dyDescent="0.3">
      <c r="A7" s="2" t="s">
        <v>23</v>
      </c>
      <c r="B7" s="3" t="s">
        <v>24</v>
      </c>
      <c r="C7" s="3" t="s">
        <v>305</v>
      </c>
      <c r="D7" s="3" t="s">
        <v>306</v>
      </c>
      <c r="E7" s="3" t="s">
        <v>307</v>
      </c>
      <c r="F7" s="15" t="s">
        <v>280</v>
      </c>
      <c r="G7" s="15" t="s">
        <v>27</v>
      </c>
      <c r="H7" s="17">
        <v>46305</v>
      </c>
      <c r="I7" s="3" t="s">
        <v>308</v>
      </c>
    </row>
    <row r="8" spans="1:9" ht="66" x14ac:dyDescent="0.3">
      <c r="A8" s="2" t="s">
        <v>25</v>
      </c>
      <c r="B8" s="3" t="s">
        <v>26</v>
      </c>
      <c r="C8" s="3" t="s">
        <v>311</v>
      </c>
      <c r="D8" s="3" t="s">
        <v>27</v>
      </c>
      <c r="E8" s="3" t="s">
        <v>309</v>
      </c>
      <c r="F8" s="15" t="s">
        <v>280</v>
      </c>
      <c r="G8" s="15" t="s">
        <v>27</v>
      </c>
      <c r="H8" s="17">
        <v>46305</v>
      </c>
      <c r="I8" s="3" t="s">
        <v>310</v>
      </c>
    </row>
    <row r="9" spans="1:9" ht="52.8" x14ac:dyDescent="0.3">
      <c r="A9" s="2" t="s">
        <v>28</v>
      </c>
      <c r="B9" s="3" t="s">
        <v>29</v>
      </c>
      <c r="C9" s="3" t="s">
        <v>314</v>
      </c>
      <c r="D9" s="3" t="s">
        <v>313</v>
      </c>
      <c r="E9" s="3" t="s">
        <v>312</v>
      </c>
      <c r="F9" s="15" t="s">
        <v>280</v>
      </c>
      <c r="G9" s="15" t="s">
        <v>27</v>
      </c>
      <c r="H9" s="17">
        <v>46305</v>
      </c>
      <c r="I9" s="3" t="s">
        <v>315</v>
      </c>
    </row>
    <row r="10" spans="1:9" ht="184.8" x14ac:dyDescent="0.3">
      <c r="A10" s="2" t="s">
        <v>30</v>
      </c>
      <c r="B10" s="3" t="s">
        <v>31</v>
      </c>
      <c r="C10" s="3" t="s">
        <v>317</v>
      </c>
      <c r="D10" s="3" t="s">
        <v>316</v>
      </c>
      <c r="E10" s="3" t="s">
        <v>318</v>
      </c>
      <c r="F10" s="15" t="s">
        <v>280</v>
      </c>
      <c r="G10" s="15" t="s">
        <v>27</v>
      </c>
      <c r="H10" s="17">
        <v>46305</v>
      </c>
      <c r="I10" s="3" t="s">
        <v>319</v>
      </c>
    </row>
    <row r="11" spans="1:9" ht="79.2" x14ac:dyDescent="0.3">
      <c r="A11" s="2" t="s">
        <v>32</v>
      </c>
      <c r="B11" s="3" t="s">
        <v>33</v>
      </c>
      <c r="C11" s="3" t="s">
        <v>321</v>
      </c>
      <c r="D11" s="3" t="s">
        <v>322</v>
      </c>
      <c r="E11" s="3" t="s">
        <v>320</v>
      </c>
      <c r="F11" s="15" t="s">
        <v>280</v>
      </c>
      <c r="G11" s="15" t="s">
        <v>27</v>
      </c>
      <c r="H11" s="17">
        <v>46305</v>
      </c>
      <c r="I11" s="3" t="s">
        <v>323</v>
      </c>
    </row>
    <row r="12" spans="1:9" ht="52.8" x14ac:dyDescent="0.3">
      <c r="A12" s="2" t="s">
        <v>34</v>
      </c>
      <c r="B12" s="3" t="s">
        <v>35</v>
      </c>
      <c r="C12" s="3" t="s">
        <v>324</v>
      </c>
      <c r="D12" s="3" t="s">
        <v>322</v>
      </c>
      <c r="E12" s="3" t="s">
        <v>325</v>
      </c>
      <c r="F12" s="15" t="s">
        <v>280</v>
      </c>
      <c r="G12" s="15" t="s">
        <v>27</v>
      </c>
      <c r="H12" s="17">
        <v>46305</v>
      </c>
      <c r="I12" s="3" t="s">
        <v>326</v>
      </c>
    </row>
    <row r="13" spans="1:9" ht="52.8" x14ac:dyDescent="0.3">
      <c r="A13" s="2" t="s">
        <v>37</v>
      </c>
      <c r="B13" s="3" t="s">
        <v>38</v>
      </c>
      <c r="C13" s="3" t="s">
        <v>39</v>
      </c>
      <c r="D13" s="3" t="s">
        <v>329</v>
      </c>
      <c r="E13" s="3" t="s">
        <v>327</v>
      </c>
      <c r="F13" s="15" t="s">
        <v>280</v>
      </c>
      <c r="G13" s="15" t="s">
        <v>27</v>
      </c>
      <c r="H13" s="17">
        <v>46306</v>
      </c>
      <c r="I13" s="3" t="s">
        <v>328</v>
      </c>
    </row>
    <row r="14" spans="1:9" ht="39.6" x14ac:dyDescent="0.3">
      <c r="A14" s="2" t="s">
        <v>40</v>
      </c>
      <c r="B14" s="3" t="s">
        <v>41</v>
      </c>
      <c r="C14" s="3" t="s">
        <v>36</v>
      </c>
      <c r="D14" s="3" t="s">
        <v>322</v>
      </c>
      <c r="E14" s="3" t="s">
        <v>330</v>
      </c>
      <c r="F14" s="15" t="s">
        <v>280</v>
      </c>
      <c r="G14" s="15" t="s">
        <v>27</v>
      </c>
      <c r="H14" s="17">
        <v>46306</v>
      </c>
      <c r="I14" s="3" t="s">
        <v>331</v>
      </c>
    </row>
    <row r="15" spans="1:9" ht="52.8" x14ac:dyDescent="0.3">
      <c r="A15" s="2" t="s">
        <v>42</v>
      </c>
      <c r="B15" s="3" t="s">
        <v>43</v>
      </c>
      <c r="C15" s="3" t="s">
        <v>44</v>
      </c>
      <c r="D15" s="3" t="s">
        <v>306</v>
      </c>
      <c r="E15" s="3" t="s">
        <v>332</v>
      </c>
      <c r="F15" s="15" t="s">
        <v>280</v>
      </c>
      <c r="G15" s="15" t="s">
        <v>27</v>
      </c>
      <c r="H15" s="17">
        <v>46306</v>
      </c>
      <c r="I15" s="3" t="s">
        <v>333</v>
      </c>
    </row>
    <row r="16" spans="1:9" ht="66" x14ac:dyDescent="0.3">
      <c r="A16" s="2" t="s">
        <v>45</v>
      </c>
      <c r="B16" s="3" t="s">
        <v>46</v>
      </c>
      <c r="C16" s="3" t="s">
        <v>47</v>
      </c>
      <c r="D16" s="3" t="s">
        <v>48</v>
      </c>
      <c r="E16" s="3" t="s">
        <v>334</v>
      </c>
      <c r="F16" s="15" t="s">
        <v>280</v>
      </c>
      <c r="G16" s="15" t="s">
        <v>27</v>
      </c>
      <c r="H16" s="17">
        <v>46306</v>
      </c>
      <c r="I16" s="3" t="s">
        <v>335</v>
      </c>
    </row>
    <row r="17" spans="1:9" ht="66" x14ac:dyDescent="0.3">
      <c r="A17" s="2" t="s">
        <v>49</v>
      </c>
      <c r="B17" s="3" t="s">
        <v>50</v>
      </c>
      <c r="C17" s="3" t="s">
        <v>51</v>
      </c>
      <c r="D17" s="3" t="s">
        <v>336</v>
      </c>
      <c r="E17" s="3" t="s">
        <v>337</v>
      </c>
      <c r="F17" s="15" t="s">
        <v>280</v>
      </c>
      <c r="G17" s="15" t="s">
        <v>27</v>
      </c>
      <c r="H17" s="17">
        <v>46306</v>
      </c>
      <c r="I17" s="3" t="s">
        <v>338</v>
      </c>
    </row>
    <row r="18" spans="1:9" ht="66" x14ac:dyDescent="0.3">
      <c r="A18" s="2" t="s">
        <v>52</v>
      </c>
      <c r="B18" s="3" t="s">
        <v>53</v>
      </c>
      <c r="C18" s="3" t="s">
        <v>54</v>
      </c>
      <c r="D18" s="3" t="s">
        <v>340</v>
      </c>
      <c r="E18" s="3" t="s">
        <v>339</v>
      </c>
      <c r="F18" s="15" t="s">
        <v>280</v>
      </c>
      <c r="G18" s="15" t="s">
        <v>27</v>
      </c>
      <c r="H18" s="17">
        <v>46306</v>
      </c>
      <c r="I18" s="3" t="s">
        <v>341</v>
      </c>
    </row>
    <row r="19" spans="1:9" ht="79.2" x14ac:dyDescent="0.3">
      <c r="A19" s="2" t="s">
        <v>55</v>
      </c>
      <c r="B19" s="3" t="s">
        <v>342</v>
      </c>
      <c r="C19" s="3" t="s">
        <v>47</v>
      </c>
      <c r="D19" s="3" t="s">
        <v>343</v>
      </c>
      <c r="E19" s="3" t="s">
        <v>344</v>
      </c>
      <c r="F19" s="15" t="s">
        <v>280</v>
      </c>
      <c r="G19" s="15" t="s">
        <v>27</v>
      </c>
      <c r="H19" s="17">
        <v>46306</v>
      </c>
      <c r="I19" s="3" t="s">
        <v>345</v>
      </c>
    </row>
    <row r="20" spans="1:9" ht="66" x14ac:dyDescent="0.3">
      <c r="A20" s="2" t="s">
        <v>56</v>
      </c>
      <c r="B20" s="3" t="s">
        <v>58</v>
      </c>
      <c r="C20" s="3" t="s">
        <v>59</v>
      </c>
      <c r="D20" s="3" t="s">
        <v>60</v>
      </c>
      <c r="E20" s="3" t="s">
        <v>346</v>
      </c>
      <c r="F20" s="15" t="s">
        <v>280</v>
      </c>
      <c r="G20" s="15" t="s">
        <v>27</v>
      </c>
      <c r="H20" s="17">
        <v>46306</v>
      </c>
      <c r="I20" s="3" t="s">
        <v>347</v>
      </c>
    </row>
    <row r="21" spans="1:9" ht="66" x14ac:dyDescent="0.3">
      <c r="A21" s="2" t="s">
        <v>57</v>
      </c>
      <c r="B21" s="3" t="s">
        <v>62</v>
      </c>
      <c r="C21" s="3" t="s">
        <v>59</v>
      </c>
      <c r="D21" s="3" t="s">
        <v>348</v>
      </c>
      <c r="E21" s="3" t="s">
        <v>346</v>
      </c>
      <c r="F21" s="15" t="s">
        <v>280</v>
      </c>
      <c r="G21" s="15" t="s">
        <v>27</v>
      </c>
      <c r="H21" s="17">
        <v>46306</v>
      </c>
      <c r="I21" s="3" t="s">
        <v>349</v>
      </c>
    </row>
    <row r="22" spans="1:9" ht="66" x14ac:dyDescent="0.3">
      <c r="A22" s="2" t="s">
        <v>61</v>
      </c>
      <c r="B22" s="3" t="s">
        <v>64</v>
      </c>
      <c r="C22" s="3" t="s">
        <v>59</v>
      </c>
      <c r="D22" s="3" t="s">
        <v>65</v>
      </c>
      <c r="E22" s="3" t="s">
        <v>350</v>
      </c>
      <c r="F22" s="15" t="s">
        <v>280</v>
      </c>
      <c r="G22" s="15" t="s">
        <v>27</v>
      </c>
      <c r="H22" s="17">
        <v>46306</v>
      </c>
      <c r="I22" s="3" t="s">
        <v>351</v>
      </c>
    </row>
    <row r="23" spans="1:9" ht="52.8" x14ac:dyDescent="0.3">
      <c r="A23" s="2" t="s">
        <v>63</v>
      </c>
      <c r="B23" s="3" t="s">
        <v>67</v>
      </c>
      <c r="C23" s="3" t="s">
        <v>68</v>
      </c>
      <c r="D23" s="3" t="s">
        <v>352</v>
      </c>
      <c r="E23" s="3" t="s">
        <v>353</v>
      </c>
      <c r="F23" s="15" t="s">
        <v>280</v>
      </c>
      <c r="G23" s="15" t="s">
        <v>27</v>
      </c>
      <c r="H23" s="17">
        <v>46307</v>
      </c>
      <c r="I23" s="3" t="s">
        <v>354</v>
      </c>
    </row>
    <row r="24" spans="1:9" ht="52.8" x14ac:dyDescent="0.3">
      <c r="A24" s="2" t="s">
        <v>66</v>
      </c>
      <c r="B24" s="3" t="s">
        <v>70</v>
      </c>
      <c r="C24" s="3" t="s">
        <v>71</v>
      </c>
      <c r="D24" s="3" t="s">
        <v>355</v>
      </c>
      <c r="E24" s="3" t="s">
        <v>356</v>
      </c>
      <c r="F24" s="15" t="s">
        <v>280</v>
      </c>
      <c r="G24" s="15" t="s">
        <v>27</v>
      </c>
      <c r="H24" s="17">
        <v>46307</v>
      </c>
      <c r="I24" s="3" t="s">
        <v>357</v>
      </c>
    </row>
    <row r="25" spans="1:9" ht="66" x14ac:dyDescent="0.3">
      <c r="A25" s="2" t="s">
        <v>69</v>
      </c>
      <c r="B25" s="3" t="s">
        <v>73</v>
      </c>
      <c r="C25" s="3" t="s">
        <v>74</v>
      </c>
      <c r="D25" s="3" t="s">
        <v>358</v>
      </c>
      <c r="E25" s="3" t="s">
        <v>359</v>
      </c>
      <c r="F25" s="15" t="s">
        <v>280</v>
      </c>
      <c r="G25" s="15" t="s">
        <v>27</v>
      </c>
      <c r="H25" s="17">
        <v>46307</v>
      </c>
      <c r="I25" s="3" t="s">
        <v>360</v>
      </c>
    </row>
    <row r="26" spans="1:9" ht="66" x14ac:dyDescent="0.3">
      <c r="A26" s="2" t="s">
        <v>72</v>
      </c>
      <c r="B26" s="3" t="s">
        <v>76</v>
      </c>
      <c r="C26" s="3" t="s">
        <v>391</v>
      </c>
      <c r="D26" s="3" t="s">
        <v>361</v>
      </c>
      <c r="E26" s="3" t="s">
        <v>362</v>
      </c>
      <c r="F26" s="15" t="s">
        <v>280</v>
      </c>
      <c r="G26" s="15" t="s">
        <v>27</v>
      </c>
      <c r="H26" s="17">
        <v>46307</v>
      </c>
      <c r="I26" s="3" t="s">
        <v>363</v>
      </c>
    </row>
    <row r="27" spans="1:9" ht="92.4" x14ac:dyDescent="0.3">
      <c r="A27" s="2" t="s">
        <v>75</v>
      </c>
      <c r="B27" s="3" t="s">
        <v>78</v>
      </c>
      <c r="C27" s="3" t="s">
        <v>79</v>
      </c>
      <c r="D27" s="3" t="s">
        <v>364</v>
      </c>
      <c r="E27" s="3" t="s">
        <v>365</v>
      </c>
      <c r="F27" s="15" t="s">
        <v>280</v>
      </c>
      <c r="G27" s="15" t="s">
        <v>27</v>
      </c>
      <c r="H27" s="17">
        <v>46307</v>
      </c>
      <c r="I27" s="3" t="s">
        <v>366</v>
      </c>
    </row>
    <row r="28" spans="1:9" ht="66" x14ac:dyDescent="0.3">
      <c r="A28" s="2" t="s">
        <v>77</v>
      </c>
      <c r="B28" s="3" t="s">
        <v>81</v>
      </c>
      <c r="C28" s="3" t="s">
        <v>82</v>
      </c>
      <c r="D28" s="3" t="s">
        <v>367</v>
      </c>
      <c r="E28" s="3" t="s">
        <v>368</v>
      </c>
      <c r="F28" s="15" t="s">
        <v>280</v>
      </c>
      <c r="G28" s="15" t="s">
        <v>27</v>
      </c>
      <c r="H28" s="17">
        <v>46307</v>
      </c>
      <c r="I28" s="3" t="s">
        <v>369</v>
      </c>
    </row>
    <row r="29" spans="1:9" ht="66" x14ac:dyDescent="0.3">
      <c r="A29" s="2" t="s">
        <v>80</v>
      </c>
      <c r="B29" s="3" t="s">
        <v>83</v>
      </c>
      <c r="C29" s="3" t="s">
        <v>84</v>
      </c>
      <c r="D29" s="3" t="s">
        <v>370</v>
      </c>
      <c r="E29" s="3" t="s">
        <v>371</v>
      </c>
      <c r="F29" s="15" t="s">
        <v>280</v>
      </c>
      <c r="G29" s="15" t="s">
        <v>27</v>
      </c>
      <c r="H29" s="17">
        <v>46307</v>
      </c>
      <c r="I29" s="3" t="s">
        <v>372</v>
      </c>
    </row>
    <row r="30" spans="1:9" ht="52.8" x14ac:dyDescent="0.3">
      <c r="A30" s="2" t="s">
        <v>86</v>
      </c>
      <c r="B30" s="3" t="s">
        <v>88</v>
      </c>
      <c r="C30" s="3" t="s">
        <v>89</v>
      </c>
      <c r="D30" s="3" t="s">
        <v>373</v>
      </c>
      <c r="E30" s="3" t="s">
        <v>374</v>
      </c>
      <c r="F30" s="15" t="s">
        <v>280</v>
      </c>
      <c r="G30" s="15" t="s">
        <v>27</v>
      </c>
      <c r="H30" s="17">
        <v>46307</v>
      </c>
      <c r="I30" s="3" t="s">
        <v>375</v>
      </c>
    </row>
    <row r="31" spans="1:9" ht="66" x14ac:dyDescent="0.3">
      <c r="A31" s="2" t="s">
        <v>87</v>
      </c>
      <c r="B31" s="3" t="s">
        <v>91</v>
      </c>
      <c r="C31" s="3" t="s">
        <v>92</v>
      </c>
      <c r="D31" s="3" t="s">
        <v>93</v>
      </c>
      <c r="E31" s="3" t="s">
        <v>376</v>
      </c>
      <c r="F31" s="15" t="s">
        <v>280</v>
      </c>
      <c r="G31" s="15" t="s">
        <v>27</v>
      </c>
      <c r="H31" s="17">
        <v>46307</v>
      </c>
      <c r="I31" s="3" t="s">
        <v>377</v>
      </c>
    </row>
    <row r="32" spans="1:9" ht="66" x14ac:dyDescent="0.3">
      <c r="A32" s="2" t="s">
        <v>90</v>
      </c>
      <c r="B32" s="3" t="s">
        <v>95</v>
      </c>
      <c r="C32" s="3" t="s">
        <v>92</v>
      </c>
      <c r="D32" s="3" t="s">
        <v>414</v>
      </c>
      <c r="E32" s="3" t="s">
        <v>376</v>
      </c>
      <c r="F32" s="15" t="s">
        <v>280</v>
      </c>
      <c r="G32" s="15" t="s">
        <v>27</v>
      </c>
      <c r="H32" s="17">
        <v>46307</v>
      </c>
      <c r="I32" s="3" t="s">
        <v>378</v>
      </c>
    </row>
    <row r="33" spans="1:9" ht="66" x14ac:dyDescent="0.3">
      <c r="A33" s="2" t="s">
        <v>94</v>
      </c>
      <c r="B33" s="3" t="s">
        <v>97</v>
      </c>
      <c r="C33" s="3" t="s">
        <v>98</v>
      </c>
      <c r="D33" s="3" t="s">
        <v>99</v>
      </c>
      <c r="E33" s="3" t="s">
        <v>379</v>
      </c>
      <c r="F33" s="15" t="s">
        <v>280</v>
      </c>
      <c r="G33" s="15" t="s">
        <v>27</v>
      </c>
      <c r="H33" s="17">
        <v>46307</v>
      </c>
      <c r="I33" s="3" t="s">
        <v>380</v>
      </c>
    </row>
    <row r="34" spans="1:9" ht="52.8" x14ac:dyDescent="0.3">
      <c r="A34" s="2" t="s">
        <v>96</v>
      </c>
      <c r="B34" s="3" t="s">
        <v>101</v>
      </c>
      <c r="C34" s="3" t="s">
        <v>102</v>
      </c>
      <c r="D34" s="3" t="s">
        <v>381</v>
      </c>
      <c r="E34" s="3" t="s">
        <v>382</v>
      </c>
      <c r="F34" s="15" t="s">
        <v>280</v>
      </c>
      <c r="G34" s="15" t="s">
        <v>27</v>
      </c>
      <c r="H34" s="17">
        <v>46307</v>
      </c>
      <c r="I34" s="3" t="s">
        <v>383</v>
      </c>
    </row>
    <row r="35" spans="1:9" ht="52.8" x14ac:dyDescent="0.3">
      <c r="A35" s="2" t="s">
        <v>100</v>
      </c>
      <c r="B35" s="3" t="s">
        <v>105</v>
      </c>
      <c r="C35" s="3" t="s">
        <v>106</v>
      </c>
      <c r="D35" s="3" t="s">
        <v>352</v>
      </c>
      <c r="E35" s="3" t="s">
        <v>384</v>
      </c>
      <c r="F35" s="15" t="s">
        <v>280</v>
      </c>
      <c r="G35" s="15" t="s">
        <v>27</v>
      </c>
      <c r="H35" s="17">
        <v>46307</v>
      </c>
      <c r="I35" s="3" t="s">
        <v>385</v>
      </c>
    </row>
    <row r="36" spans="1:9" ht="52.8" x14ac:dyDescent="0.3">
      <c r="A36" s="2" t="s">
        <v>104</v>
      </c>
      <c r="B36" s="3" t="s">
        <v>108</v>
      </c>
      <c r="C36" s="3" t="s">
        <v>109</v>
      </c>
      <c r="D36" s="3" t="s">
        <v>355</v>
      </c>
      <c r="E36" s="3" t="s">
        <v>386</v>
      </c>
      <c r="F36" s="15" t="s">
        <v>280</v>
      </c>
      <c r="G36" s="15" t="s">
        <v>27</v>
      </c>
      <c r="H36" s="17">
        <v>46307</v>
      </c>
      <c r="I36" s="3" t="s">
        <v>387</v>
      </c>
    </row>
    <row r="37" spans="1:9" ht="79.2" x14ac:dyDescent="0.3">
      <c r="A37" s="2" t="s">
        <v>107</v>
      </c>
      <c r="B37" s="3" t="s">
        <v>111</v>
      </c>
      <c r="C37" s="3" t="s">
        <v>112</v>
      </c>
      <c r="D37" s="3" t="s">
        <v>103</v>
      </c>
      <c r="E37" s="3" t="s">
        <v>388</v>
      </c>
      <c r="F37" s="15" t="s">
        <v>280</v>
      </c>
      <c r="G37" s="15" t="s">
        <v>27</v>
      </c>
      <c r="H37" s="17">
        <v>46307</v>
      </c>
      <c r="I37" s="3" t="s">
        <v>389</v>
      </c>
    </row>
    <row r="38" spans="1:9" ht="66" x14ac:dyDescent="0.3">
      <c r="A38" s="2" t="s">
        <v>110</v>
      </c>
      <c r="B38" s="3" t="s">
        <v>114</v>
      </c>
      <c r="C38" s="3" t="s">
        <v>390</v>
      </c>
      <c r="D38" s="3" t="s">
        <v>392</v>
      </c>
      <c r="E38" s="3" t="s">
        <v>393</v>
      </c>
      <c r="F38" s="15" t="s">
        <v>280</v>
      </c>
      <c r="G38" s="15" t="s">
        <v>27</v>
      </c>
      <c r="H38" s="17">
        <v>46307</v>
      </c>
      <c r="I38" s="3" t="s">
        <v>394</v>
      </c>
    </row>
    <row r="39" spans="1:9" ht="92.4" x14ac:dyDescent="0.3">
      <c r="A39" s="2" t="s">
        <v>113</v>
      </c>
      <c r="B39" s="3" t="s">
        <v>116</v>
      </c>
      <c r="C39" s="3" t="s">
        <v>117</v>
      </c>
      <c r="D39" s="3" t="s">
        <v>395</v>
      </c>
      <c r="E39" s="3" t="s">
        <v>396</v>
      </c>
      <c r="F39" s="15" t="s">
        <v>280</v>
      </c>
      <c r="G39" s="15" t="s">
        <v>27</v>
      </c>
      <c r="H39" s="17">
        <v>46307</v>
      </c>
      <c r="I39" s="3" t="s">
        <v>397</v>
      </c>
    </row>
    <row r="40" spans="1:9" ht="66" x14ac:dyDescent="0.3">
      <c r="A40" s="2" t="s">
        <v>115</v>
      </c>
      <c r="B40" s="3" t="s">
        <v>81</v>
      </c>
      <c r="C40" s="3" t="s">
        <v>119</v>
      </c>
      <c r="D40" s="3" t="s">
        <v>398</v>
      </c>
      <c r="E40" s="3" t="s">
        <v>368</v>
      </c>
      <c r="F40" s="15" t="s">
        <v>280</v>
      </c>
      <c r="G40" s="15" t="s">
        <v>27</v>
      </c>
      <c r="H40" s="17">
        <v>46307</v>
      </c>
      <c r="I40" s="3" t="s">
        <v>399</v>
      </c>
    </row>
    <row r="41" spans="1:9" ht="66" x14ac:dyDescent="0.3">
      <c r="A41" s="2" t="s">
        <v>118</v>
      </c>
      <c r="B41" s="3" t="s">
        <v>120</v>
      </c>
      <c r="C41" s="3" t="s">
        <v>121</v>
      </c>
      <c r="D41" s="3" t="s">
        <v>400</v>
      </c>
      <c r="E41" s="3" t="s">
        <v>401</v>
      </c>
      <c r="F41" s="15" t="s">
        <v>280</v>
      </c>
      <c r="G41" s="15" t="s">
        <v>27</v>
      </c>
      <c r="H41" s="17">
        <v>46307</v>
      </c>
      <c r="I41" s="3" t="s">
        <v>402</v>
      </c>
    </row>
    <row r="42" spans="1:9" ht="66" x14ac:dyDescent="0.3">
      <c r="A42" s="2" t="s">
        <v>122</v>
      </c>
      <c r="B42" s="3" t="s">
        <v>123</v>
      </c>
      <c r="C42" s="3" t="s">
        <v>124</v>
      </c>
      <c r="D42" s="3" t="s">
        <v>403</v>
      </c>
      <c r="E42" s="3" t="s">
        <v>404</v>
      </c>
      <c r="F42" s="15" t="s">
        <v>280</v>
      </c>
      <c r="G42" s="15" t="s">
        <v>27</v>
      </c>
      <c r="H42" s="17">
        <v>46307</v>
      </c>
      <c r="I42" s="3" t="s">
        <v>405</v>
      </c>
    </row>
    <row r="43" spans="1:9" ht="66" x14ac:dyDescent="0.3">
      <c r="A43" s="2" t="s">
        <v>125</v>
      </c>
      <c r="B43" s="3" t="s">
        <v>126</v>
      </c>
      <c r="C43" s="3" t="s">
        <v>127</v>
      </c>
      <c r="D43" s="3" t="s">
        <v>409</v>
      </c>
      <c r="E43" s="3" t="s">
        <v>406</v>
      </c>
      <c r="F43" s="15" t="s">
        <v>280</v>
      </c>
      <c r="G43" s="15" t="s">
        <v>27</v>
      </c>
      <c r="H43" s="17">
        <v>46307</v>
      </c>
      <c r="I43" s="3" t="s">
        <v>407</v>
      </c>
    </row>
    <row r="44" spans="1:9" ht="66" x14ac:dyDescent="0.3">
      <c r="A44" s="2" t="s">
        <v>128</v>
      </c>
      <c r="B44" s="3" t="s">
        <v>129</v>
      </c>
      <c r="C44" s="3" t="s">
        <v>130</v>
      </c>
      <c r="D44" s="3" t="s">
        <v>408</v>
      </c>
      <c r="E44" s="3" t="s">
        <v>410</v>
      </c>
      <c r="F44" s="15" t="s">
        <v>280</v>
      </c>
      <c r="G44" s="15" t="s">
        <v>27</v>
      </c>
      <c r="H44" s="17">
        <v>46307</v>
      </c>
      <c r="I44" s="3" t="s">
        <v>411</v>
      </c>
    </row>
    <row r="45" spans="1:9" ht="66" x14ac:dyDescent="0.3">
      <c r="A45" s="2" t="s">
        <v>131</v>
      </c>
      <c r="B45" s="3" t="s">
        <v>132</v>
      </c>
      <c r="C45" s="3" t="s">
        <v>133</v>
      </c>
      <c r="D45" s="3" t="s">
        <v>403</v>
      </c>
      <c r="E45" s="3" t="s">
        <v>412</v>
      </c>
      <c r="F45" s="15" t="s">
        <v>280</v>
      </c>
      <c r="G45" s="15" t="s">
        <v>27</v>
      </c>
      <c r="H45" s="17">
        <v>46307</v>
      </c>
      <c r="I45" s="3" t="s">
        <v>413</v>
      </c>
    </row>
    <row r="46" spans="1:9" ht="66" x14ac:dyDescent="0.3">
      <c r="A46" s="2" t="s">
        <v>134</v>
      </c>
      <c r="B46" s="3" t="s">
        <v>135</v>
      </c>
      <c r="C46" s="3" t="s">
        <v>136</v>
      </c>
      <c r="D46" s="3" t="s">
        <v>322</v>
      </c>
      <c r="E46" s="3" t="s">
        <v>416</v>
      </c>
      <c r="F46" s="15" t="s">
        <v>280</v>
      </c>
      <c r="G46" s="15" t="s">
        <v>27</v>
      </c>
      <c r="H46" s="17">
        <v>46308</v>
      </c>
      <c r="I46" s="3" t="s">
        <v>417</v>
      </c>
    </row>
    <row r="47" spans="1:9" ht="66" x14ac:dyDescent="0.3">
      <c r="A47" s="2" t="s">
        <v>137</v>
      </c>
      <c r="B47" s="3" t="s">
        <v>138</v>
      </c>
      <c r="C47" s="3" t="s">
        <v>139</v>
      </c>
      <c r="D47" s="3" t="s">
        <v>322</v>
      </c>
      <c r="E47" s="3" t="s">
        <v>419</v>
      </c>
      <c r="F47" s="15" t="s">
        <v>280</v>
      </c>
      <c r="G47" s="15" t="s">
        <v>27</v>
      </c>
      <c r="H47" s="17">
        <v>46308</v>
      </c>
      <c r="I47" s="3" t="s">
        <v>418</v>
      </c>
    </row>
    <row r="48" spans="1:9" ht="52.8" x14ac:dyDescent="0.3">
      <c r="A48" s="2" t="s">
        <v>140</v>
      </c>
      <c r="B48" s="3" t="s">
        <v>141</v>
      </c>
      <c r="C48" s="3" t="s">
        <v>422</v>
      </c>
      <c r="D48" s="3" t="s">
        <v>415</v>
      </c>
      <c r="E48" s="3" t="s">
        <v>420</v>
      </c>
      <c r="F48" s="15" t="s">
        <v>280</v>
      </c>
      <c r="G48" s="15" t="s">
        <v>27</v>
      </c>
      <c r="H48" s="17">
        <v>46308</v>
      </c>
      <c r="I48" s="3" t="s">
        <v>421</v>
      </c>
    </row>
    <row r="49" spans="1:9" ht="52.8" x14ac:dyDescent="0.3">
      <c r="A49" s="2" t="s">
        <v>142</v>
      </c>
      <c r="B49" s="3" t="s">
        <v>143</v>
      </c>
      <c r="C49" s="3" t="s">
        <v>423</v>
      </c>
      <c r="D49" s="3" t="s">
        <v>322</v>
      </c>
      <c r="E49" s="3" t="s">
        <v>424</v>
      </c>
      <c r="F49" s="15" t="s">
        <v>280</v>
      </c>
      <c r="G49" s="15" t="s">
        <v>27</v>
      </c>
      <c r="H49" s="17">
        <v>46308</v>
      </c>
      <c r="I49" s="3" t="s">
        <v>425</v>
      </c>
    </row>
    <row r="50" spans="1:9" ht="52.8" x14ac:dyDescent="0.3">
      <c r="A50" s="2" t="s">
        <v>144</v>
      </c>
      <c r="B50" s="3" t="s">
        <v>145</v>
      </c>
      <c r="C50" s="3" t="s">
        <v>146</v>
      </c>
      <c r="D50" s="3" t="s">
        <v>426</v>
      </c>
      <c r="E50" s="3" t="s">
        <v>427</v>
      </c>
      <c r="F50" s="15" t="s">
        <v>280</v>
      </c>
      <c r="G50" s="15" t="s">
        <v>27</v>
      </c>
      <c r="H50" s="17">
        <v>46308</v>
      </c>
      <c r="I50" s="3" t="s">
        <v>428</v>
      </c>
    </row>
    <row r="51" spans="1:9" ht="52.8" x14ac:dyDescent="0.3">
      <c r="A51" s="2" t="s">
        <v>147</v>
      </c>
      <c r="B51" s="3" t="s">
        <v>148</v>
      </c>
      <c r="C51" s="3" t="s">
        <v>149</v>
      </c>
      <c r="D51" s="3" t="s">
        <v>429</v>
      </c>
      <c r="E51" s="3" t="s">
        <v>430</v>
      </c>
      <c r="F51" s="15" t="s">
        <v>280</v>
      </c>
      <c r="G51" s="15" t="s">
        <v>27</v>
      </c>
      <c r="H51" s="17">
        <v>46308</v>
      </c>
      <c r="I51" s="18" t="s">
        <v>431</v>
      </c>
    </row>
    <row r="52" spans="1:9" ht="66" x14ac:dyDescent="0.3">
      <c r="A52" s="2" t="s">
        <v>150</v>
      </c>
      <c r="B52" s="3" t="s">
        <v>151</v>
      </c>
      <c r="C52" s="3" t="s">
        <v>152</v>
      </c>
      <c r="D52" s="18" t="s">
        <v>433</v>
      </c>
      <c r="E52" s="3" t="s">
        <v>432</v>
      </c>
      <c r="F52" s="15" t="s">
        <v>280</v>
      </c>
      <c r="G52" s="15" t="s">
        <v>27</v>
      </c>
      <c r="H52" s="17">
        <v>46308</v>
      </c>
      <c r="I52" s="18" t="s">
        <v>434</v>
      </c>
    </row>
    <row r="53" spans="1:9" ht="66" x14ac:dyDescent="0.3">
      <c r="A53" s="2" t="s">
        <v>153</v>
      </c>
      <c r="B53" s="3" t="s">
        <v>154</v>
      </c>
      <c r="C53" s="18" t="s">
        <v>436</v>
      </c>
      <c r="D53" s="18" t="s">
        <v>437</v>
      </c>
      <c r="E53" s="18" t="s">
        <v>435</v>
      </c>
      <c r="F53" s="15" t="s">
        <v>280</v>
      </c>
      <c r="G53" s="15" t="s">
        <v>27</v>
      </c>
      <c r="H53" s="17">
        <v>46308</v>
      </c>
      <c r="I53" s="18" t="s">
        <v>438</v>
      </c>
    </row>
    <row r="54" spans="1:9" ht="52.8" x14ac:dyDescent="0.3">
      <c r="A54" s="2" t="s">
        <v>155</v>
      </c>
      <c r="B54" s="18" t="s">
        <v>156</v>
      </c>
      <c r="C54" s="3" t="s">
        <v>157</v>
      </c>
      <c r="D54" s="18" t="s">
        <v>439</v>
      </c>
      <c r="E54" s="18" t="s">
        <v>440</v>
      </c>
      <c r="F54" s="15" t="s">
        <v>280</v>
      </c>
      <c r="G54" s="15" t="s">
        <v>27</v>
      </c>
      <c r="H54" s="17">
        <v>46308</v>
      </c>
      <c r="I54" s="18" t="s">
        <v>441</v>
      </c>
    </row>
    <row r="55" spans="1:9" ht="52.8" x14ac:dyDescent="0.3">
      <c r="A55" s="2" t="s">
        <v>158</v>
      </c>
      <c r="B55" s="18" t="s">
        <v>159</v>
      </c>
      <c r="C55" s="3" t="s">
        <v>160</v>
      </c>
      <c r="D55" s="18" t="s">
        <v>306</v>
      </c>
      <c r="E55" s="18" t="s">
        <v>442</v>
      </c>
      <c r="F55" s="15" t="s">
        <v>280</v>
      </c>
      <c r="G55" s="15" t="s">
        <v>27</v>
      </c>
      <c r="H55" s="17">
        <v>46308</v>
      </c>
      <c r="I55" s="18" t="s">
        <v>443</v>
      </c>
    </row>
    <row r="56" spans="1:9" ht="66" x14ac:dyDescent="0.3">
      <c r="A56" s="2" t="s">
        <v>161</v>
      </c>
      <c r="B56" s="18" t="s">
        <v>162</v>
      </c>
      <c r="C56" s="3" t="s">
        <v>163</v>
      </c>
      <c r="D56" s="19" t="s">
        <v>27</v>
      </c>
      <c r="E56" s="18" t="s">
        <v>444</v>
      </c>
      <c r="F56" s="15" t="s">
        <v>280</v>
      </c>
      <c r="G56" s="15" t="s">
        <v>27</v>
      </c>
      <c r="H56" s="17">
        <v>46308</v>
      </c>
      <c r="I56" s="18" t="s">
        <v>445</v>
      </c>
    </row>
    <row r="57" spans="1:9" ht="66" x14ac:dyDescent="0.3">
      <c r="A57" s="2" t="s">
        <v>164</v>
      </c>
      <c r="B57" s="3" t="s">
        <v>165</v>
      </c>
      <c r="C57" s="3" t="s">
        <v>166</v>
      </c>
      <c r="D57" s="18" t="s">
        <v>313</v>
      </c>
      <c r="E57" s="18" t="s">
        <v>446</v>
      </c>
      <c r="F57" s="15" t="s">
        <v>280</v>
      </c>
      <c r="G57" s="15" t="s">
        <v>27</v>
      </c>
      <c r="H57" s="17">
        <v>46308</v>
      </c>
      <c r="I57" s="18" t="s">
        <v>447</v>
      </c>
    </row>
    <row r="58" spans="1:9" ht="39.6" x14ac:dyDescent="0.3">
      <c r="A58" s="2" t="s">
        <v>167</v>
      </c>
      <c r="B58" s="3" t="s">
        <v>168</v>
      </c>
      <c r="C58" s="3" t="s">
        <v>169</v>
      </c>
      <c r="D58" s="18" t="s">
        <v>448</v>
      </c>
      <c r="E58" s="18" t="s">
        <v>449</v>
      </c>
      <c r="F58" s="15" t="s">
        <v>280</v>
      </c>
      <c r="G58" s="15" t="s">
        <v>27</v>
      </c>
      <c r="H58" s="17">
        <v>46308</v>
      </c>
      <c r="I58" s="18" t="s">
        <v>450</v>
      </c>
    </row>
    <row r="59" spans="1:9" ht="66" x14ac:dyDescent="0.3">
      <c r="A59" s="2" t="s">
        <v>170</v>
      </c>
      <c r="B59" s="18" t="s">
        <v>171</v>
      </c>
      <c r="C59" s="3" t="s">
        <v>172</v>
      </c>
      <c r="D59" s="18" t="s">
        <v>451</v>
      </c>
      <c r="E59" s="18" t="s">
        <v>452</v>
      </c>
      <c r="F59" s="15" t="s">
        <v>280</v>
      </c>
      <c r="G59" s="15" t="s">
        <v>27</v>
      </c>
      <c r="H59" s="17">
        <v>46308</v>
      </c>
      <c r="I59" s="18" t="s">
        <v>453</v>
      </c>
    </row>
    <row r="60" spans="1:9" ht="52.8" x14ac:dyDescent="0.3">
      <c r="A60" s="2" t="s">
        <v>173</v>
      </c>
      <c r="B60" s="18" t="s">
        <v>174</v>
      </c>
      <c r="C60" s="3" t="s">
        <v>175</v>
      </c>
      <c r="D60" s="18" t="s">
        <v>313</v>
      </c>
      <c r="E60" s="18" t="s">
        <v>454</v>
      </c>
      <c r="F60" s="15" t="s">
        <v>280</v>
      </c>
      <c r="G60" s="15" t="s">
        <v>27</v>
      </c>
      <c r="H60" s="17">
        <v>46308</v>
      </c>
      <c r="I60" s="18" t="s">
        <v>455</v>
      </c>
    </row>
    <row r="61" spans="1:9" ht="66" x14ac:dyDescent="0.3">
      <c r="A61" s="2" t="s">
        <v>176</v>
      </c>
      <c r="B61" s="3" t="s">
        <v>177</v>
      </c>
      <c r="C61" s="3" t="s">
        <v>178</v>
      </c>
      <c r="D61" s="18" t="s">
        <v>457</v>
      </c>
      <c r="E61" s="18" t="s">
        <v>456</v>
      </c>
      <c r="F61" s="15" t="s">
        <v>280</v>
      </c>
      <c r="G61" s="15" t="s">
        <v>27</v>
      </c>
      <c r="H61" s="17">
        <v>46308</v>
      </c>
      <c r="I61" s="18" t="s">
        <v>458</v>
      </c>
    </row>
    <row r="62" spans="1:9" ht="79.2" x14ac:dyDescent="0.3">
      <c r="A62" s="2" t="s">
        <v>179</v>
      </c>
      <c r="B62" s="18" t="s">
        <v>180</v>
      </c>
      <c r="C62" s="3" t="s">
        <v>181</v>
      </c>
      <c r="D62" s="18" t="s">
        <v>459</v>
      </c>
      <c r="E62" s="18" t="s">
        <v>460</v>
      </c>
      <c r="F62" s="15" t="s">
        <v>280</v>
      </c>
      <c r="G62" s="15" t="s">
        <v>27</v>
      </c>
      <c r="H62" s="17">
        <v>46308</v>
      </c>
      <c r="I62" s="18" t="s">
        <v>461</v>
      </c>
    </row>
    <row r="63" spans="1:9" ht="105.6" x14ac:dyDescent="0.3">
      <c r="A63" s="2" t="s">
        <v>182</v>
      </c>
      <c r="B63" s="3" t="s">
        <v>183</v>
      </c>
      <c r="C63" s="3" t="s">
        <v>184</v>
      </c>
      <c r="D63" s="3" t="s">
        <v>462</v>
      </c>
      <c r="E63" s="3" t="s">
        <v>463</v>
      </c>
      <c r="F63" s="15" t="s">
        <v>280</v>
      </c>
      <c r="G63" s="15" t="s">
        <v>27</v>
      </c>
      <c r="H63" s="17">
        <v>46309</v>
      </c>
      <c r="I63" s="3" t="s">
        <v>464</v>
      </c>
    </row>
    <row r="64" spans="1:9" ht="79.2" x14ac:dyDescent="0.3">
      <c r="A64" s="2" t="s">
        <v>185</v>
      </c>
      <c r="B64" s="3" t="s">
        <v>186</v>
      </c>
      <c r="C64" s="3" t="s">
        <v>187</v>
      </c>
      <c r="D64" s="3" t="s">
        <v>465</v>
      </c>
      <c r="E64" s="3" t="s">
        <v>466</v>
      </c>
      <c r="F64" s="15" t="s">
        <v>280</v>
      </c>
      <c r="G64" s="15" t="s">
        <v>27</v>
      </c>
      <c r="H64" s="17">
        <v>46309</v>
      </c>
      <c r="I64" s="3" t="s">
        <v>467</v>
      </c>
    </row>
    <row r="65" spans="1:9" ht="66" x14ac:dyDescent="0.3">
      <c r="A65" s="2" t="s">
        <v>188</v>
      </c>
      <c r="B65" s="3" t="s">
        <v>189</v>
      </c>
      <c r="C65" s="3" t="s">
        <v>473</v>
      </c>
      <c r="D65" s="3" t="s">
        <v>474</v>
      </c>
      <c r="E65" s="3" t="s">
        <v>471</v>
      </c>
      <c r="F65" s="15" t="s">
        <v>280</v>
      </c>
      <c r="G65" s="15" t="s">
        <v>27</v>
      </c>
      <c r="H65" s="17">
        <v>46309</v>
      </c>
      <c r="I65" s="3" t="s">
        <v>472</v>
      </c>
    </row>
    <row r="66" spans="1:9" ht="79.2" x14ac:dyDescent="0.3">
      <c r="A66" s="2" t="s">
        <v>190</v>
      </c>
      <c r="B66" s="3" t="s">
        <v>191</v>
      </c>
      <c r="C66" s="3" t="s">
        <v>192</v>
      </c>
      <c r="D66" s="3" t="s">
        <v>470</v>
      </c>
      <c r="E66" s="3" t="s">
        <v>468</v>
      </c>
      <c r="F66" s="15" t="s">
        <v>280</v>
      </c>
      <c r="G66" s="15" t="s">
        <v>27</v>
      </c>
      <c r="H66" s="17">
        <v>46309</v>
      </c>
      <c r="I66" s="3" t="s">
        <v>469</v>
      </c>
    </row>
    <row r="67" spans="1:9" ht="52.8" x14ac:dyDescent="0.3">
      <c r="A67" s="2" t="s">
        <v>193</v>
      </c>
      <c r="B67" s="3" t="s">
        <v>194</v>
      </c>
      <c r="C67" s="3" t="s">
        <v>195</v>
      </c>
      <c r="D67" s="3" t="s">
        <v>196</v>
      </c>
      <c r="E67" s="3" t="s">
        <v>475</v>
      </c>
      <c r="F67" s="15" t="s">
        <v>280</v>
      </c>
      <c r="G67" s="15" t="s">
        <v>27</v>
      </c>
      <c r="H67" s="17">
        <v>46309</v>
      </c>
      <c r="I67" s="3" t="s">
        <v>476</v>
      </c>
    </row>
    <row r="68" spans="1:9" ht="66" x14ac:dyDescent="0.3">
      <c r="A68" s="2" t="s">
        <v>197</v>
      </c>
      <c r="B68" s="3" t="s">
        <v>198</v>
      </c>
      <c r="C68" s="3" t="s">
        <v>199</v>
      </c>
      <c r="D68" s="3" t="s">
        <v>200</v>
      </c>
      <c r="E68" s="3" t="s">
        <v>477</v>
      </c>
      <c r="F68" s="15" t="s">
        <v>280</v>
      </c>
      <c r="G68" s="15" t="s">
        <v>27</v>
      </c>
      <c r="H68" s="17">
        <v>46309</v>
      </c>
      <c r="I68" s="3" t="s">
        <v>478</v>
      </c>
    </row>
    <row r="69" spans="1:9" ht="66" x14ac:dyDescent="0.3">
      <c r="A69" s="2" t="s">
        <v>201</v>
      </c>
      <c r="B69" s="3" t="s">
        <v>202</v>
      </c>
      <c r="C69" s="3" t="s">
        <v>203</v>
      </c>
      <c r="D69" s="3" t="s">
        <v>204</v>
      </c>
      <c r="E69" s="3" t="s">
        <v>479</v>
      </c>
      <c r="F69" s="15" t="s">
        <v>280</v>
      </c>
      <c r="G69" s="15" t="s">
        <v>27</v>
      </c>
      <c r="H69" s="17">
        <v>46309</v>
      </c>
      <c r="I69" s="3" t="s">
        <v>480</v>
      </c>
    </row>
    <row r="70" spans="1:9" ht="66" x14ac:dyDescent="0.3">
      <c r="A70" s="2" t="s">
        <v>205</v>
      </c>
      <c r="B70" s="3" t="s">
        <v>206</v>
      </c>
      <c r="C70" s="3" t="s">
        <v>207</v>
      </c>
      <c r="D70" s="3" t="s">
        <v>322</v>
      </c>
      <c r="E70" s="3" t="s">
        <v>481</v>
      </c>
      <c r="F70" s="15" t="s">
        <v>280</v>
      </c>
      <c r="G70" s="15" t="s">
        <v>27</v>
      </c>
      <c r="H70" s="17">
        <v>46309</v>
      </c>
      <c r="I70" s="3" t="s">
        <v>482</v>
      </c>
    </row>
    <row r="71" spans="1:9" ht="52.8" x14ac:dyDescent="0.3">
      <c r="A71" s="2" t="s">
        <v>208</v>
      </c>
      <c r="B71" s="3" t="s">
        <v>209</v>
      </c>
      <c r="C71" s="3" t="s">
        <v>210</v>
      </c>
      <c r="D71" s="3" t="s">
        <v>322</v>
      </c>
      <c r="E71" s="3" t="s">
        <v>483</v>
      </c>
      <c r="F71" s="15" t="s">
        <v>280</v>
      </c>
      <c r="G71" s="15" t="s">
        <v>27</v>
      </c>
      <c r="H71" s="17">
        <v>46309</v>
      </c>
      <c r="I71" s="3" t="s">
        <v>484</v>
      </c>
    </row>
    <row r="72" spans="1:9" ht="52.8" x14ac:dyDescent="0.3">
      <c r="A72" s="2" t="s">
        <v>211</v>
      </c>
      <c r="B72" s="3" t="s">
        <v>212</v>
      </c>
      <c r="C72" s="3" t="s">
        <v>213</v>
      </c>
      <c r="D72" s="3" t="s">
        <v>306</v>
      </c>
      <c r="E72" s="3" t="s">
        <v>485</v>
      </c>
      <c r="F72" s="15" t="s">
        <v>280</v>
      </c>
      <c r="G72" s="15" t="s">
        <v>27</v>
      </c>
      <c r="H72" s="17">
        <v>46309</v>
      </c>
      <c r="I72" s="3" t="s">
        <v>486</v>
      </c>
    </row>
    <row r="73" spans="1:9" ht="52.8" x14ac:dyDescent="0.3">
      <c r="A73" s="2" t="s">
        <v>214</v>
      </c>
      <c r="B73" s="3" t="s">
        <v>215</v>
      </c>
      <c r="C73" s="3" t="s">
        <v>216</v>
      </c>
      <c r="D73" s="3" t="s">
        <v>487</v>
      </c>
      <c r="E73" s="3" t="s">
        <v>488</v>
      </c>
      <c r="F73" s="15" t="s">
        <v>280</v>
      </c>
      <c r="G73" s="15" t="s">
        <v>27</v>
      </c>
      <c r="H73" s="17">
        <v>46309</v>
      </c>
      <c r="I73" s="3" t="s">
        <v>489</v>
      </c>
    </row>
    <row r="74" spans="1:9" ht="66" x14ac:dyDescent="0.3">
      <c r="A74" s="2" t="s">
        <v>217</v>
      </c>
      <c r="B74" s="3" t="s">
        <v>218</v>
      </c>
      <c r="C74" s="3" t="s">
        <v>219</v>
      </c>
      <c r="D74" s="3" t="s">
        <v>490</v>
      </c>
      <c r="E74" s="3" t="s">
        <v>491</v>
      </c>
      <c r="F74" s="15" t="s">
        <v>280</v>
      </c>
      <c r="G74" s="15" t="s">
        <v>27</v>
      </c>
      <c r="H74" s="17">
        <v>46309</v>
      </c>
      <c r="I74" s="3" t="s">
        <v>492</v>
      </c>
    </row>
    <row r="75" spans="1:9" ht="52.8" x14ac:dyDescent="0.3">
      <c r="A75" s="2" t="s">
        <v>220</v>
      </c>
      <c r="B75" s="3" t="s">
        <v>221</v>
      </c>
      <c r="C75" s="3" t="s">
        <v>222</v>
      </c>
      <c r="D75" s="3" t="s">
        <v>493</v>
      </c>
      <c r="E75" s="3" t="s">
        <v>494</v>
      </c>
      <c r="F75" s="15" t="s">
        <v>280</v>
      </c>
      <c r="G75" s="15" t="s">
        <v>27</v>
      </c>
      <c r="H75" s="17">
        <v>46309</v>
      </c>
      <c r="I75" s="3" t="s">
        <v>495</v>
      </c>
    </row>
    <row r="76" spans="1:9" ht="39.6" x14ac:dyDescent="0.3">
      <c r="A76" s="2" t="s">
        <v>223</v>
      </c>
      <c r="B76" s="3" t="s">
        <v>224</v>
      </c>
      <c r="C76" s="3" t="s">
        <v>225</v>
      </c>
      <c r="D76" s="3" t="s">
        <v>226</v>
      </c>
      <c r="E76" s="3" t="s">
        <v>496</v>
      </c>
      <c r="F76" s="15" t="s">
        <v>280</v>
      </c>
      <c r="G76" s="15" t="s">
        <v>27</v>
      </c>
      <c r="H76" s="17">
        <v>46309</v>
      </c>
      <c r="I76" s="3" t="s">
        <v>497</v>
      </c>
    </row>
    <row r="77" spans="1:9" ht="39.6" x14ac:dyDescent="0.3">
      <c r="A77" s="2" t="s">
        <v>227</v>
      </c>
      <c r="B77" s="3" t="s">
        <v>228</v>
      </c>
      <c r="C77" s="3" t="s">
        <v>502</v>
      </c>
      <c r="D77" s="15" t="s">
        <v>27</v>
      </c>
      <c r="E77" s="3" t="s">
        <v>498</v>
      </c>
      <c r="F77" s="15" t="s">
        <v>280</v>
      </c>
      <c r="G77" s="15" t="s">
        <v>27</v>
      </c>
      <c r="H77" s="17">
        <v>46309</v>
      </c>
      <c r="I77" s="3" t="s">
        <v>499</v>
      </c>
    </row>
    <row r="78" spans="1:9" ht="66" x14ac:dyDescent="0.3">
      <c r="A78" s="2" t="s">
        <v>229</v>
      </c>
      <c r="B78" s="3" t="s">
        <v>230</v>
      </c>
      <c r="C78" s="3" t="s">
        <v>231</v>
      </c>
      <c r="D78" s="15" t="s">
        <v>27</v>
      </c>
      <c r="E78" s="3" t="s">
        <v>500</v>
      </c>
      <c r="F78" s="15" t="s">
        <v>280</v>
      </c>
      <c r="G78" s="15" t="s">
        <v>27</v>
      </c>
      <c r="H78" s="17">
        <v>46309</v>
      </c>
      <c r="I78" s="3" t="s">
        <v>501</v>
      </c>
    </row>
    <row r="79" spans="1:9" ht="66" x14ac:dyDescent="0.3">
      <c r="A79" s="2" t="s">
        <v>232</v>
      </c>
      <c r="B79" s="3" t="s">
        <v>234</v>
      </c>
      <c r="C79" s="3" t="s">
        <v>235</v>
      </c>
      <c r="D79" s="15" t="s">
        <v>27</v>
      </c>
      <c r="E79" s="3" t="s">
        <v>503</v>
      </c>
      <c r="F79" s="15" t="s">
        <v>280</v>
      </c>
      <c r="G79" s="15" t="s">
        <v>27</v>
      </c>
      <c r="H79" s="17">
        <v>46310</v>
      </c>
      <c r="I79" s="3" t="s">
        <v>504</v>
      </c>
    </row>
    <row r="80" spans="1:9" ht="66" x14ac:dyDescent="0.3">
      <c r="A80" s="2" t="s">
        <v>233</v>
      </c>
      <c r="B80" s="3" t="s">
        <v>236</v>
      </c>
      <c r="C80" s="3" t="s">
        <v>237</v>
      </c>
      <c r="D80" s="3" t="s">
        <v>238</v>
      </c>
      <c r="E80" s="3" t="s">
        <v>505</v>
      </c>
      <c r="F80" s="15" t="s">
        <v>280</v>
      </c>
      <c r="G80" s="15" t="s">
        <v>27</v>
      </c>
      <c r="H80" s="17">
        <v>46310</v>
      </c>
      <c r="I80" s="3" t="s">
        <v>506</v>
      </c>
    </row>
    <row r="81" spans="1:9" ht="66" x14ac:dyDescent="0.3">
      <c r="A81" s="2" t="s">
        <v>239</v>
      </c>
      <c r="B81" s="3" t="s">
        <v>240</v>
      </c>
      <c r="C81" s="3" t="s">
        <v>241</v>
      </c>
      <c r="D81" s="3" t="s">
        <v>242</v>
      </c>
      <c r="E81" s="3" t="s">
        <v>507</v>
      </c>
      <c r="F81" s="15" t="s">
        <v>280</v>
      </c>
      <c r="G81" s="15" t="s">
        <v>27</v>
      </c>
      <c r="H81" s="17">
        <v>46310</v>
      </c>
      <c r="I81" s="3" t="s">
        <v>508</v>
      </c>
    </row>
    <row r="82" spans="1:9" ht="92.4" x14ac:dyDescent="0.3">
      <c r="A82" s="2" t="s">
        <v>243</v>
      </c>
      <c r="B82" s="3" t="s">
        <v>244</v>
      </c>
      <c r="C82" s="3" t="s">
        <v>245</v>
      </c>
      <c r="D82" s="3" t="s">
        <v>85</v>
      </c>
      <c r="E82" s="3" t="s">
        <v>509</v>
      </c>
      <c r="F82" s="15" t="s">
        <v>280</v>
      </c>
      <c r="G82" s="15" t="s">
        <v>27</v>
      </c>
      <c r="H82" s="17">
        <v>46310</v>
      </c>
      <c r="I82" s="3" t="s">
        <v>510</v>
      </c>
    </row>
    <row r="83" spans="1:9" ht="66" x14ac:dyDescent="0.3">
      <c r="A83" s="2" t="s">
        <v>246</v>
      </c>
      <c r="B83" s="3" t="s">
        <v>247</v>
      </c>
      <c r="C83" s="3" t="s">
        <v>248</v>
      </c>
      <c r="D83" s="3" t="s">
        <v>511</v>
      </c>
      <c r="E83" s="3" t="s">
        <v>512</v>
      </c>
      <c r="F83" s="15" t="s">
        <v>280</v>
      </c>
      <c r="G83" s="15" t="s">
        <v>27</v>
      </c>
      <c r="H83" s="17">
        <v>46310</v>
      </c>
      <c r="I83" s="3" t="s">
        <v>513</v>
      </c>
    </row>
    <row r="84" spans="1:9" ht="79.2" x14ac:dyDescent="0.3">
      <c r="A84" s="2" t="s">
        <v>249</v>
      </c>
      <c r="B84" s="3" t="s">
        <v>250</v>
      </c>
      <c r="C84" s="3" t="s">
        <v>251</v>
      </c>
      <c r="D84" s="3" t="s">
        <v>515</v>
      </c>
      <c r="E84" s="3" t="s">
        <v>514</v>
      </c>
      <c r="F84" s="15" t="s">
        <v>280</v>
      </c>
      <c r="G84" s="15" t="s">
        <v>27</v>
      </c>
      <c r="H84" s="17">
        <v>46310</v>
      </c>
      <c r="I84" s="3" t="s">
        <v>516</v>
      </c>
    </row>
    <row r="85" spans="1:9" ht="52.8" x14ac:dyDescent="0.3">
      <c r="A85" s="2" t="s">
        <v>252</v>
      </c>
      <c r="B85" s="3" t="s">
        <v>253</v>
      </c>
      <c r="C85" s="3" t="s">
        <v>254</v>
      </c>
      <c r="D85" s="3" t="s">
        <v>517</v>
      </c>
      <c r="E85" s="3" t="s">
        <v>518</v>
      </c>
      <c r="F85" s="15" t="s">
        <v>280</v>
      </c>
      <c r="G85" s="15" t="s">
        <v>27</v>
      </c>
      <c r="H85" s="17">
        <v>46310</v>
      </c>
      <c r="I85" s="3" t="s">
        <v>519</v>
      </c>
    </row>
    <row r="86" spans="1:9" ht="79.2" x14ac:dyDescent="0.3">
      <c r="A86" s="2" t="s">
        <v>255</v>
      </c>
      <c r="B86" s="3" t="s">
        <v>256</v>
      </c>
      <c r="C86" s="3" t="s">
        <v>257</v>
      </c>
      <c r="D86" s="3" t="s">
        <v>520</v>
      </c>
      <c r="E86" s="3" t="s">
        <v>521</v>
      </c>
      <c r="F86" s="15" t="s">
        <v>280</v>
      </c>
      <c r="G86" s="15" t="s">
        <v>27</v>
      </c>
      <c r="H86" s="17">
        <v>46310</v>
      </c>
      <c r="I86" s="3" t="s">
        <v>522</v>
      </c>
    </row>
    <row r="87" spans="1:9" ht="66" x14ac:dyDescent="0.3">
      <c r="A87" s="2" t="s">
        <v>258</v>
      </c>
      <c r="B87" s="3" t="s">
        <v>259</v>
      </c>
      <c r="C87" s="3" t="s">
        <v>260</v>
      </c>
      <c r="D87" s="3" t="s">
        <v>520</v>
      </c>
      <c r="E87" s="3" t="s">
        <v>523</v>
      </c>
      <c r="F87" s="15" t="s">
        <v>280</v>
      </c>
      <c r="G87" s="15" t="s">
        <v>27</v>
      </c>
      <c r="H87" s="17">
        <v>46310</v>
      </c>
      <c r="I87" s="3" t="s">
        <v>524</v>
      </c>
    </row>
    <row r="88" spans="1:9" ht="66" x14ac:dyDescent="0.3">
      <c r="A88" s="2" t="s">
        <v>261</v>
      </c>
      <c r="B88" s="3" t="s">
        <v>262</v>
      </c>
      <c r="C88" s="3" t="s">
        <v>263</v>
      </c>
      <c r="D88" s="3" t="s">
        <v>264</v>
      </c>
      <c r="E88" s="3" t="s">
        <v>525</v>
      </c>
      <c r="F88" s="15" t="s">
        <v>280</v>
      </c>
      <c r="G88" s="15" t="s">
        <v>27</v>
      </c>
      <c r="H88" s="17">
        <v>46310</v>
      </c>
      <c r="I88" s="3" t="s">
        <v>526</v>
      </c>
    </row>
    <row r="89" spans="1:9" ht="52.8" x14ac:dyDescent="0.3">
      <c r="A89" s="2" t="s">
        <v>265</v>
      </c>
      <c r="B89" s="3" t="s">
        <v>266</v>
      </c>
      <c r="C89" s="3" t="s">
        <v>267</v>
      </c>
      <c r="D89" s="3" t="s">
        <v>268</v>
      </c>
      <c r="E89" s="3" t="s">
        <v>527</v>
      </c>
      <c r="F89" s="15" t="s">
        <v>280</v>
      </c>
      <c r="G89" s="15" t="s">
        <v>27</v>
      </c>
      <c r="H89" s="17">
        <v>46310</v>
      </c>
      <c r="I89" s="3" t="s">
        <v>528</v>
      </c>
    </row>
    <row r="90" spans="1:9" ht="105.6" x14ac:dyDescent="0.3">
      <c r="A90" s="2" t="s">
        <v>269</v>
      </c>
      <c r="B90" s="3" t="s">
        <v>270</v>
      </c>
      <c r="C90" s="3" t="s">
        <v>529</v>
      </c>
      <c r="D90" s="15" t="s">
        <v>27</v>
      </c>
      <c r="E90" s="3" t="s">
        <v>530</v>
      </c>
      <c r="F90" s="15" t="s">
        <v>280</v>
      </c>
      <c r="G90" s="15" t="s">
        <v>27</v>
      </c>
      <c r="H90" s="17">
        <v>46310</v>
      </c>
      <c r="I90" s="3" t="s">
        <v>531</v>
      </c>
    </row>
    <row r="91" spans="1:9" ht="66" x14ac:dyDescent="0.3">
      <c r="A91" s="2" t="s">
        <v>271</v>
      </c>
      <c r="B91" s="3" t="s">
        <v>272</v>
      </c>
      <c r="C91" s="3" t="s">
        <v>273</v>
      </c>
      <c r="D91" s="3" t="s">
        <v>533</v>
      </c>
      <c r="E91" s="3" t="s">
        <v>532</v>
      </c>
      <c r="F91" s="15" t="s">
        <v>280</v>
      </c>
      <c r="G91" s="15" t="s">
        <v>27</v>
      </c>
      <c r="H91" s="17">
        <v>46310</v>
      </c>
      <c r="I91" s="3" t="s">
        <v>534</v>
      </c>
    </row>
    <row r="92" spans="1:9" ht="66" x14ac:dyDescent="0.3">
      <c r="A92" s="2" t="s">
        <v>274</v>
      </c>
      <c r="B92" s="3" t="s">
        <v>275</v>
      </c>
      <c r="C92" s="3" t="s">
        <v>276</v>
      </c>
      <c r="D92" s="3" t="s">
        <v>277</v>
      </c>
      <c r="E92" s="3" t="s">
        <v>535</v>
      </c>
      <c r="F92" s="15" t="s">
        <v>280</v>
      </c>
      <c r="G92" s="15" t="s">
        <v>27</v>
      </c>
      <c r="H92" s="17">
        <v>46310</v>
      </c>
      <c r="I92" s="3" t="s">
        <v>536</v>
      </c>
    </row>
    <row r="93" spans="1:9" x14ac:dyDescent="0.3">
      <c r="A93" s="2"/>
      <c r="B93" s="3"/>
      <c r="C93" s="3"/>
      <c r="D93" s="3"/>
      <c r="E93" s="3"/>
      <c r="F93" s="15"/>
      <c r="G93" s="15"/>
      <c r="H93" s="17"/>
      <c r="I93" s="3"/>
    </row>
    <row r="94" spans="1:9" x14ac:dyDescent="0.3">
      <c r="A94" s="2"/>
      <c r="B94" s="3"/>
      <c r="C94" s="3"/>
      <c r="D94" s="3"/>
      <c r="E94" s="3"/>
      <c r="F94" s="15"/>
      <c r="G94" s="15"/>
      <c r="H94" s="17"/>
      <c r="I94" s="3"/>
    </row>
    <row r="95" spans="1:9" x14ac:dyDescent="0.3">
      <c r="A95" s="2"/>
      <c r="B95" s="3"/>
      <c r="C95" s="3"/>
      <c r="D95" s="3"/>
      <c r="E95" s="3"/>
      <c r="F95" s="15"/>
      <c r="G95" s="15"/>
      <c r="H95" s="17"/>
      <c r="I95" s="3"/>
    </row>
    <row r="96" spans="1:9" x14ac:dyDescent="0.3">
      <c r="A96" s="2"/>
      <c r="B96" s="3"/>
      <c r="C96" s="3"/>
      <c r="D96" s="3"/>
      <c r="E96" s="3"/>
      <c r="F96" s="15"/>
      <c r="G96" s="15"/>
      <c r="H96" s="17"/>
      <c r="I96" s="3"/>
    </row>
    <row r="97" spans="1:9" x14ac:dyDescent="0.3">
      <c r="A97" s="2"/>
      <c r="B97" s="3"/>
      <c r="C97" s="3"/>
      <c r="D97" s="3"/>
      <c r="E97" s="3"/>
      <c r="F97" s="15"/>
      <c r="G97" s="15"/>
      <c r="H97" s="17"/>
      <c r="I97" s="3"/>
    </row>
    <row r="98" spans="1:9" x14ac:dyDescent="0.3">
      <c r="A98" s="2"/>
      <c r="B98" s="3"/>
      <c r="C98" s="3"/>
      <c r="D98" s="3"/>
      <c r="E98" s="3"/>
      <c r="F98" s="15"/>
      <c r="G98" s="15"/>
      <c r="H98" s="17"/>
      <c r="I98" s="3"/>
    </row>
    <row r="99" spans="1:9" x14ac:dyDescent="0.3">
      <c r="A99" s="2"/>
      <c r="B99" s="3"/>
      <c r="C99" s="3"/>
      <c r="D99" s="3"/>
      <c r="E99" s="3"/>
      <c r="F99" s="15"/>
      <c r="G99" s="15"/>
      <c r="H99" s="17"/>
      <c r="I99" s="3"/>
    </row>
    <row r="100" spans="1:9" x14ac:dyDescent="0.3">
      <c r="A100" s="2"/>
      <c r="B100" s="3"/>
      <c r="C100" s="3"/>
      <c r="D100" s="3"/>
      <c r="E100" s="3"/>
      <c r="F100" s="15"/>
      <c r="G100" s="15"/>
      <c r="H100" s="17"/>
      <c r="I100" s="3"/>
    </row>
    <row r="101" spans="1:9" x14ac:dyDescent="0.3">
      <c r="A101" s="2"/>
      <c r="B101" s="3"/>
      <c r="C101" s="3"/>
      <c r="D101" s="3"/>
      <c r="E101" s="3"/>
      <c r="F101" s="15"/>
      <c r="G101" s="15"/>
      <c r="H101" s="17"/>
      <c r="I101" s="3"/>
    </row>
    <row r="102" spans="1:9" x14ac:dyDescent="0.3">
      <c r="A102" s="2"/>
      <c r="B102" s="3"/>
      <c r="C102" s="3"/>
      <c r="D102" s="3"/>
      <c r="E102" s="3"/>
      <c r="F102" s="15"/>
      <c r="G102" s="15"/>
      <c r="H102" s="17"/>
      <c r="I102" s="3"/>
    </row>
    <row r="103" spans="1:9" x14ac:dyDescent="0.3">
      <c r="A103" s="2"/>
      <c r="B103" s="3"/>
      <c r="C103" s="3"/>
      <c r="D103" s="3"/>
      <c r="E103" s="3"/>
      <c r="F103" s="15"/>
      <c r="G103" s="15"/>
      <c r="H103" s="17"/>
      <c r="I103" s="3"/>
    </row>
    <row r="104" spans="1:9" x14ac:dyDescent="0.3">
      <c r="A104" s="2"/>
      <c r="B104" s="3"/>
      <c r="C104" s="3"/>
      <c r="D104" s="3"/>
      <c r="E104" s="3"/>
      <c r="F104" s="15"/>
      <c r="G104" s="15"/>
      <c r="H104" s="17"/>
      <c r="I104" s="3"/>
    </row>
    <row r="105" spans="1:9" x14ac:dyDescent="0.3">
      <c r="A105" s="2"/>
      <c r="B105" s="3"/>
      <c r="C105" s="3"/>
      <c r="D105" s="3"/>
      <c r="E105" s="3"/>
      <c r="F105" s="15"/>
      <c r="G105" s="15"/>
      <c r="H105" s="17"/>
      <c r="I105" s="3"/>
    </row>
    <row r="106" spans="1:9" x14ac:dyDescent="0.3">
      <c r="A106" s="2"/>
      <c r="B106" s="3"/>
      <c r="C106" s="3"/>
      <c r="D106" s="3"/>
      <c r="E106" s="3"/>
      <c r="F106" s="15"/>
      <c r="G106" s="15"/>
      <c r="H106" s="17"/>
      <c r="I106" s="3"/>
    </row>
    <row r="107" spans="1:9" x14ac:dyDescent="0.3">
      <c r="A107" s="2"/>
      <c r="B107" s="3"/>
      <c r="C107" s="3"/>
      <c r="D107" s="3"/>
      <c r="E107" s="3"/>
      <c r="F107" s="15"/>
      <c r="G107" s="15"/>
      <c r="H107" s="17"/>
      <c r="I107" s="3"/>
    </row>
    <row r="108" spans="1:9" x14ac:dyDescent="0.3">
      <c r="A108" s="2"/>
      <c r="B108" s="3"/>
      <c r="C108" s="3"/>
      <c r="D108" s="3"/>
      <c r="E108" s="3"/>
      <c r="F108" s="15"/>
      <c r="G108" s="15"/>
      <c r="H108" s="17"/>
      <c r="I108" s="3"/>
    </row>
    <row r="109" spans="1:9" x14ac:dyDescent="0.3">
      <c r="A109" s="2"/>
      <c r="B109" s="3"/>
      <c r="C109" s="3"/>
      <c r="D109" s="3"/>
      <c r="E109" s="3"/>
      <c r="F109" s="15"/>
      <c r="G109" s="15"/>
      <c r="H109" s="17"/>
      <c r="I109" s="3"/>
    </row>
    <row r="110" spans="1:9" x14ac:dyDescent="0.3">
      <c r="A110" s="2"/>
      <c r="B110" s="3"/>
      <c r="C110" s="3"/>
      <c r="D110" s="3"/>
      <c r="E110" s="3"/>
      <c r="F110" s="15"/>
      <c r="G110" s="15"/>
      <c r="H110" s="17"/>
      <c r="I110" s="3"/>
    </row>
    <row r="111" spans="1:9" x14ac:dyDescent="0.3">
      <c r="A111" s="2"/>
      <c r="B111" s="3"/>
      <c r="C111" s="3"/>
      <c r="D111" s="3"/>
      <c r="E111" s="3"/>
      <c r="F111" s="15"/>
      <c r="G111" s="15"/>
      <c r="H111" s="17"/>
      <c r="I111" s="3"/>
    </row>
    <row r="112" spans="1:9" x14ac:dyDescent="0.3">
      <c r="A112" s="2"/>
      <c r="B112" s="3"/>
      <c r="C112" s="3"/>
      <c r="D112" s="3"/>
      <c r="E112" s="3"/>
      <c r="F112" s="15"/>
      <c r="G112" s="15"/>
      <c r="H112" s="17"/>
      <c r="I112" s="3"/>
    </row>
    <row r="113" spans="1:9" x14ac:dyDescent="0.3">
      <c r="A113" s="2"/>
      <c r="B113" s="3"/>
      <c r="C113" s="3"/>
      <c r="D113" s="3"/>
      <c r="E113" s="3"/>
      <c r="F113" s="15"/>
      <c r="G113" s="15"/>
      <c r="H113" s="17"/>
      <c r="I113" s="3"/>
    </row>
    <row r="114" spans="1:9" x14ac:dyDescent="0.3">
      <c r="A114" s="2"/>
      <c r="B114" s="3"/>
      <c r="C114" s="3"/>
      <c r="D114" s="3"/>
      <c r="E114" s="3"/>
      <c r="F114" s="15"/>
      <c r="G114" s="15"/>
      <c r="H114" s="17"/>
      <c r="I114" s="3"/>
    </row>
    <row r="115" spans="1:9" x14ac:dyDescent="0.3">
      <c r="A115" s="2"/>
      <c r="B115" s="3"/>
      <c r="C115" s="3"/>
      <c r="D115" s="3"/>
      <c r="E115" s="3"/>
      <c r="F115" s="15"/>
      <c r="G115" s="15"/>
      <c r="H115" s="17"/>
      <c r="I115" s="3"/>
    </row>
    <row r="116" spans="1:9" x14ac:dyDescent="0.3">
      <c r="A116" s="2"/>
      <c r="B116" s="3"/>
      <c r="C116" s="3"/>
      <c r="D116" s="3"/>
      <c r="E116" s="3"/>
      <c r="F116" s="15"/>
      <c r="G116" s="15"/>
      <c r="H116" s="17"/>
      <c r="I116" s="3"/>
    </row>
    <row r="117" spans="1:9" x14ac:dyDescent="0.3">
      <c r="A117" s="2"/>
      <c r="B117" s="3"/>
      <c r="C117" s="3"/>
      <c r="D117" s="3"/>
      <c r="E117" s="3"/>
      <c r="F117" s="15"/>
      <c r="G117" s="15"/>
      <c r="H117" s="17"/>
      <c r="I117" s="3"/>
    </row>
    <row r="118" spans="1:9" x14ac:dyDescent="0.3">
      <c r="A118" s="2"/>
      <c r="B118" s="3"/>
      <c r="C118" s="3"/>
      <c r="D118" s="3"/>
      <c r="E118" s="3"/>
      <c r="F118" s="15"/>
      <c r="G118" s="15"/>
      <c r="H118" s="17"/>
      <c r="I118" s="3"/>
    </row>
    <row r="119" spans="1:9" x14ac:dyDescent="0.3">
      <c r="A119" s="2"/>
      <c r="B119" s="3"/>
      <c r="C119" s="3"/>
      <c r="D119" s="3"/>
      <c r="E119" s="3"/>
      <c r="F119" s="15"/>
      <c r="G119" s="15"/>
      <c r="H119" s="17"/>
      <c r="I119" s="3"/>
    </row>
    <row r="120" spans="1:9" x14ac:dyDescent="0.3">
      <c r="A120" s="2"/>
      <c r="B120" s="3"/>
      <c r="C120" s="3"/>
      <c r="D120" s="3"/>
      <c r="E120" s="3"/>
      <c r="F120" s="15"/>
      <c r="G120" s="15"/>
      <c r="H120" s="17"/>
      <c r="I120" s="3"/>
    </row>
    <row r="121" spans="1:9" x14ac:dyDescent="0.3">
      <c r="A121" s="2"/>
      <c r="B121" s="3"/>
      <c r="C121" s="3"/>
      <c r="D121" s="3"/>
      <c r="E121" s="3"/>
      <c r="F121" s="15"/>
      <c r="G121" s="15"/>
      <c r="H121" s="17"/>
      <c r="I121" s="3"/>
    </row>
    <row r="122" spans="1:9" x14ac:dyDescent="0.3">
      <c r="A122" s="2"/>
      <c r="B122" s="3"/>
      <c r="C122" s="3"/>
      <c r="D122" s="3"/>
      <c r="E122" s="3"/>
      <c r="F122" s="15"/>
      <c r="G122" s="15"/>
      <c r="H122" s="17"/>
      <c r="I122" s="3"/>
    </row>
    <row r="123" spans="1:9" x14ac:dyDescent="0.3">
      <c r="A123" s="2"/>
      <c r="B123" s="3"/>
      <c r="C123" s="3"/>
      <c r="D123" s="3"/>
      <c r="E123" s="3"/>
      <c r="F123" s="15"/>
      <c r="G123" s="15"/>
      <c r="H123" s="17"/>
      <c r="I123" s="3"/>
    </row>
    <row r="124" spans="1:9" x14ac:dyDescent="0.3">
      <c r="A124" s="2"/>
      <c r="B124" s="3"/>
      <c r="C124" s="3"/>
      <c r="D124" s="3"/>
      <c r="E124" s="3"/>
      <c r="F124" s="15"/>
      <c r="G124" s="15"/>
      <c r="H124" s="17"/>
      <c r="I124" s="3"/>
    </row>
    <row r="125" spans="1:9" x14ac:dyDescent="0.3">
      <c r="A125" s="2"/>
      <c r="B125" s="3"/>
      <c r="C125" s="3"/>
      <c r="D125" s="3"/>
      <c r="E125" s="3"/>
      <c r="F125" s="15"/>
      <c r="G125" s="15"/>
      <c r="H125" s="17"/>
      <c r="I125" s="3"/>
    </row>
    <row r="126" spans="1:9" x14ac:dyDescent="0.3">
      <c r="A126" s="2"/>
      <c r="B126" s="3"/>
      <c r="C126" s="3"/>
      <c r="D126" s="3"/>
      <c r="E126" s="3"/>
      <c r="F126" s="15"/>
      <c r="G126" s="15"/>
      <c r="H126" s="17"/>
      <c r="I126" s="3"/>
    </row>
    <row r="127" spans="1:9" x14ac:dyDescent="0.3">
      <c r="A127" s="2"/>
      <c r="B127" s="3"/>
      <c r="C127" s="3"/>
      <c r="D127" s="3"/>
      <c r="E127" s="3"/>
      <c r="F127" s="15"/>
      <c r="G127" s="15"/>
      <c r="H127" s="17"/>
      <c r="I127" s="3"/>
    </row>
    <row r="128" spans="1:9" x14ac:dyDescent="0.3">
      <c r="A128" s="2"/>
      <c r="B128" s="3"/>
      <c r="C128" s="3"/>
      <c r="D128" s="3"/>
      <c r="E128" s="3"/>
      <c r="F128" s="15"/>
      <c r="G128" s="15"/>
      <c r="H128" s="17"/>
      <c r="I128" s="3"/>
    </row>
    <row r="129" spans="1:9" x14ac:dyDescent="0.3">
      <c r="A129" s="2"/>
      <c r="B129" s="3"/>
      <c r="C129" s="3"/>
      <c r="D129" s="3"/>
      <c r="E129" s="3"/>
      <c r="F129" s="15"/>
      <c r="G129" s="15"/>
      <c r="H129" s="17"/>
      <c r="I129" s="3"/>
    </row>
    <row r="130" spans="1:9" x14ac:dyDescent="0.3">
      <c r="A130" s="2"/>
      <c r="B130" s="3"/>
      <c r="C130" s="3"/>
      <c r="D130" s="3"/>
      <c r="E130" s="3"/>
      <c r="F130" s="15"/>
      <c r="G130" s="15"/>
      <c r="H130" s="17"/>
      <c r="I130" s="3"/>
    </row>
    <row r="131" spans="1:9" x14ac:dyDescent="0.3">
      <c r="A131" s="2"/>
      <c r="B131" s="3"/>
      <c r="C131" s="3"/>
      <c r="D131" s="3"/>
      <c r="E131" s="3"/>
      <c r="F131" s="15"/>
      <c r="G131" s="15"/>
      <c r="H131" s="17"/>
      <c r="I131" s="3"/>
    </row>
    <row r="132" spans="1:9" x14ac:dyDescent="0.3">
      <c r="A132" s="2"/>
      <c r="B132" s="3"/>
      <c r="C132" s="3"/>
      <c r="D132" s="3"/>
      <c r="E132" s="3"/>
      <c r="F132" s="15"/>
      <c r="G132" s="15"/>
      <c r="H132" s="17"/>
      <c r="I132" s="3"/>
    </row>
    <row r="133" spans="1:9" x14ac:dyDescent="0.3">
      <c r="A133" s="2"/>
      <c r="B133" s="3"/>
      <c r="C133" s="3"/>
      <c r="D133" s="3"/>
      <c r="E133" s="3"/>
      <c r="F133" s="15"/>
      <c r="G133" s="15"/>
      <c r="H133" s="17"/>
      <c r="I133" s="3"/>
    </row>
    <row r="134" spans="1:9" x14ac:dyDescent="0.3">
      <c r="A134" s="2"/>
      <c r="B134" s="3"/>
      <c r="C134" s="3"/>
      <c r="D134" s="3"/>
      <c r="E134" s="3"/>
      <c r="F134" s="15"/>
      <c r="G134" s="15"/>
      <c r="H134" s="17"/>
      <c r="I134" s="3"/>
    </row>
    <row r="135" spans="1:9" x14ac:dyDescent="0.3">
      <c r="A135" s="2"/>
      <c r="B135" s="3"/>
      <c r="C135" s="3"/>
      <c r="D135" s="3"/>
      <c r="E135" s="3"/>
      <c r="F135" s="15"/>
      <c r="G135" s="15"/>
      <c r="H135" s="17"/>
      <c r="I135" s="3"/>
    </row>
    <row r="136" spans="1:9" x14ac:dyDescent="0.3">
      <c r="A136" s="2"/>
      <c r="B136" s="3"/>
      <c r="C136" s="3"/>
      <c r="D136" s="3"/>
      <c r="E136" s="3"/>
      <c r="F136" s="15"/>
      <c r="G136" s="15"/>
      <c r="H136" s="17"/>
      <c r="I136" s="3"/>
    </row>
    <row r="137" spans="1:9" x14ac:dyDescent="0.3">
      <c r="A137" s="2"/>
      <c r="B137" s="3"/>
      <c r="C137" s="3"/>
      <c r="D137" s="3"/>
      <c r="E137" s="3"/>
      <c r="F137" s="15"/>
      <c r="G137" s="15"/>
      <c r="H137" s="17"/>
      <c r="I137" s="3"/>
    </row>
    <row r="138" spans="1:9" x14ac:dyDescent="0.3">
      <c r="A138" s="2"/>
      <c r="B138" s="3"/>
      <c r="C138" s="3"/>
      <c r="D138" s="3"/>
      <c r="E138" s="3"/>
      <c r="F138" s="15"/>
      <c r="G138" s="15"/>
      <c r="H138" s="17"/>
      <c r="I138" s="3"/>
    </row>
    <row r="139" spans="1:9" x14ac:dyDescent="0.3">
      <c r="A139" s="2"/>
      <c r="B139" s="3"/>
      <c r="C139" s="3"/>
      <c r="D139" s="3"/>
      <c r="E139" s="3"/>
      <c r="F139" s="15"/>
      <c r="G139" s="15"/>
      <c r="H139" s="17"/>
      <c r="I139" s="3"/>
    </row>
    <row r="140" spans="1:9" x14ac:dyDescent="0.3">
      <c r="A140" s="2"/>
      <c r="B140" s="3"/>
      <c r="C140" s="3"/>
      <c r="D140" s="3"/>
      <c r="E140" s="3"/>
      <c r="F140" s="15"/>
      <c r="G140" s="15"/>
      <c r="H140" s="17"/>
      <c r="I140" s="3"/>
    </row>
    <row r="141" spans="1:9" x14ac:dyDescent="0.3">
      <c r="A141" s="2"/>
      <c r="B141" s="3"/>
      <c r="C141" s="3"/>
      <c r="D141" s="3"/>
      <c r="E141" s="3"/>
      <c r="F141" s="15"/>
      <c r="G141" s="15"/>
      <c r="H141" s="17"/>
      <c r="I141" s="3"/>
    </row>
    <row r="142" spans="1:9" x14ac:dyDescent="0.3">
      <c r="A142" s="2"/>
      <c r="B142" s="3"/>
      <c r="C142" s="3"/>
      <c r="D142" s="3"/>
      <c r="E142" s="3"/>
      <c r="F142" s="15"/>
      <c r="G142" s="15"/>
      <c r="H142" s="17"/>
      <c r="I142" s="3"/>
    </row>
    <row r="143" spans="1:9" x14ac:dyDescent="0.3">
      <c r="A143" s="2"/>
      <c r="B143" s="3"/>
      <c r="C143" s="3"/>
      <c r="D143" s="3"/>
      <c r="E143" s="3"/>
      <c r="F143" s="15"/>
      <c r="G143" s="15"/>
      <c r="H143" s="17"/>
      <c r="I143" s="3"/>
    </row>
    <row r="144" spans="1:9" x14ac:dyDescent="0.3">
      <c r="A144" s="2"/>
      <c r="B144" s="3"/>
      <c r="C144" s="3"/>
      <c r="D144" s="3"/>
      <c r="E144" s="3"/>
      <c r="F144" s="15"/>
      <c r="G144" s="15"/>
      <c r="H144" s="17"/>
      <c r="I144" s="3"/>
    </row>
    <row r="145" spans="1:9" x14ac:dyDescent="0.3">
      <c r="A145" s="2"/>
      <c r="B145" s="3"/>
      <c r="C145" s="3"/>
      <c r="D145" s="3"/>
      <c r="E145" s="3"/>
      <c r="F145" s="15"/>
      <c r="G145" s="15"/>
      <c r="H145" s="17"/>
      <c r="I145" s="3"/>
    </row>
    <row r="146" spans="1:9" x14ac:dyDescent="0.3">
      <c r="A146" s="2"/>
      <c r="B146" s="3"/>
      <c r="C146" s="3"/>
      <c r="D146" s="3"/>
      <c r="E146" s="3"/>
      <c r="F146" s="15"/>
      <c r="G146" s="15"/>
      <c r="H146" s="17"/>
      <c r="I146" s="3"/>
    </row>
    <row r="147" spans="1:9" x14ac:dyDescent="0.3">
      <c r="A147" s="2"/>
      <c r="B147" s="3"/>
      <c r="C147" s="3"/>
      <c r="D147" s="3"/>
      <c r="E147" s="3"/>
      <c r="F147" s="15"/>
      <c r="G147" s="15"/>
      <c r="H147" s="17"/>
      <c r="I147" s="3"/>
    </row>
    <row r="148" spans="1:9" x14ac:dyDescent="0.3">
      <c r="A148" s="2"/>
      <c r="B148" s="3"/>
      <c r="C148" s="3"/>
      <c r="D148" s="3"/>
      <c r="E148" s="3"/>
      <c r="F148" s="15"/>
      <c r="G148" s="15"/>
      <c r="H148" s="17"/>
      <c r="I148" s="3"/>
    </row>
    <row r="149" spans="1:9" x14ac:dyDescent="0.3">
      <c r="A149" s="2"/>
      <c r="B149" s="3"/>
      <c r="C149" s="3"/>
      <c r="D149" s="3"/>
      <c r="E149" s="3"/>
      <c r="F149" s="15"/>
      <c r="G149" s="15"/>
      <c r="H149" s="17"/>
      <c r="I149" s="3"/>
    </row>
    <row r="150" spans="1:9" x14ac:dyDescent="0.3">
      <c r="A150" s="2"/>
      <c r="B150" s="3"/>
      <c r="C150" s="3"/>
      <c r="D150" s="3"/>
      <c r="E150" s="3"/>
      <c r="F150" s="15"/>
      <c r="G150" s="15"/>
      <c r="H150" s="17"/>
      <c r="I150" s="3"/>
    </row>
    <row r="151" spans="1:9" x14ac:dyDescent="0.3">
      <c r="A151" s="2"/>
      <c r="B151" s="3"/>
      <c r="C151" s="3"/>
      <c r="D151" s="3"/>
      <c r="E151" s="3"/>
      <c r="F151" s="15"/>
      <c r="G151" s="15"/>
      <c r="H151" s="17"/>
      <c r="I151" s="3"/>
    </row>
    <row r="152" spans="1:9" x14ac:dyDescent="0.3">
      <c r="A152" s="2"/>
      <c r="B152" s="3"/>
      <c r="C152" s="3"/>
      <c r="D152" s="3"/>
      <c r="E152" s="3"/>
      <c r="F152" s="15"/>
      <c r="G152" s="15"/>
      <c r="H152" s="17"/>
      <c r="I152" s="3"/>
    </row>
    <row r="153" spans="1:9" x14ac:dyDescent="0.3">
      <c r="A153" s="2"/>
      <c r="B153" s="3"/>
      <c r="C153" s="3"/>
      <c r="D153" s="3"/>
      <c r="E153" s="3"/>
      <c r="F153" s="15"/>
      <c r="G153" s="15"/>
      <c r="H153" s="17"/>
      <c r="I153" s="3"/>
    </row>
    <row r="154" spans="1:9" x14ac:dyDescent="0.3">
      <c r="A154" s="2"/>
      <c r="B154" s="3"/>
      <c r="C154" s="3"/>
      <c r="D154" s="3"/>
      <c r="E154" s="3"/>
      <c r="F154" s="15"/>
      <c r="G154" s="15"/>
      <c r="H154" s="17"/>
      <c r="I154" s="3"/>
    </row>
    <row r="155" spans="1:9" x14ac:dyDescent="0.3">
      <c r="A155" s="2"/>
      <c r="B155" s="3"/>
      <c r="C155" s="3"/>
      <c r="D155" s="3"/>
      <c r="E155" s="3"/>
      <c r="F155" s="15"/>
      <c r="G155" s="15"/>
      <c r="H155" s="17"/>
      <c r="I155" s="3"/>
    </row>
    <row r="156" spans="1:9" x14ac:dyDescent="0.3">
      <c r="A156" s="2"/>
      <c r="B156" s="3"/>
      <c r="C156" s="3"/>
      <c r="D156" s="3"/>
      <c r="E156" s="3"/>
      <c r="F156" s="15"/>
      <c r="G156" s="15"/>
      <c r="H156" s="17"/>
      <c r="I156" s="3"/>
    </row>
    <row r="157" spans="1:9" x14ac:dyDescent="0.3">
      <c r="A157" s="2"/>
      <c r="B157" s="3"/>
      <c r="C157" s="3"/>
      <c r="D157" s="3"/>
      <c r="E157" s="3"/>
      <c r="F157" s="15"/>
      <c r="G157" s="15"/>
      <c r="H157" s="17"/>
      <c r="I157" s="3"/>
    </row>
    <row r="158" spans="1:9" x14ac:dyDescent="0.3">
      <c r="A158" s="2"/>
      <c r="B158" s="3"/>
      <c r="C158" s="3"/>
      <c r="D158" s="3"/>
      <c r="E158" s="3"/>
      <c r="F158" s="15"/>
      <c r="G158" s="15"/>
      <c r="H158" s="17"/>
      <c r="I158" s="3"/>
    </row>
    <row r="159" spans="1:9" x14ac:dyDescent="0.3">
      <c r="A159" s="2"/>
      <c r="B159" s="3"/>
      <c r="C159" s="3"/>
      <c r="D159" s="3"/>
      <c r="E159" s="3"/>
      <c r="F159" s="15"/>
      <c r="G159" s="15"/>
      <c r="H159" s="17"/>
      <c r="I159" s="3"/>
    </row>
    <row r="160" spans="1:9" x14ac:dyDescent="0.3">
      <c r="A160" s="2"/>
      <c r="B160" s="3"/>
      <c r="C160" s="3"/>
      <c r="D160" s="3"/>
      <c r="E160" s="3"/>
      <c r="F160" s="15"/>
      <c r="G160" s="15"/>
      <c r="H160" s="17"/>
      <c r="I160" s="3"/>
    </row>
    <row r="161" spans="1:9" x14ac:dyDescent="0.3">
      <c r="A161" s="2"/>
      <c r="B161" s="3"/>
      <c r="C161" s="3"/>
      <c r="D161" s="3"/>
      <c r="E161" s="3"/>
      <c r="F161" s="15"/>
      <c r="G161" s="15"/>
      <c r="H161" s="17"/>
      <c r="I161" s="3"/>
    </row>
    <row r="162" spans="1:9" x14ac:dyDescent="0.3">
      <c r="A162" s="2"/>
      <c r="B162" s="3"/>
      <c r="C162" s="3"/>
      <c r="D162" s="3"/>
      <c r="E162" s="3"/>
      <c r="F162" s="15"/>
      <c r="G162" s="15"/>
      <c r="H162" s="17"/>
      <c r="I162" s="3"/>
    </row>
    <row r="163" spans="1:9" x14ac:dyDescent="0.3">
      <c r="A163" s="2"/>
      <c r="B163" s="3"/>
      <c r="C163" s="3"/>
      <c r="D163" s="3"/>
      <c r="E163" s="3"/>
      <c r="F163" s="15"/>
      <c r="G163" s="15"/>
      <c r="H163" s="17"/>
      <c r="I163" s="3"/>
    </row>
    <row r="164" spans="1:9" x14ac:dyDescent="0.3">
      <c r="A164" s="2"/>
      <c r="B164" s="3"/>
      <c r="C164" s="3"/>
      <c r="D164" s="3"/>
      <c r="E164" s="3"/>
      <c r="F164" s="15"/>
      <c r="G164" s="15"/>
      <c r="H164" s="17"/>
      <c r="I164" s="3"/>
    </row>
    <row r="165" spans="1:9" x14ac:dyDescent="0.3">
      <c r="A165" s="2"/>
      <c r="B165" s="3"/>
      <c r="C165" s="3"/>
      <c r="D165" s="3"/>
      <c r="E165" s="3"/>
      <c r="F165" s="15"/>
      <c r="G165" s="15"/>
      <c r="H165" s="17"/>
      <c r="I165" s="3"/>
    </row>
    <row r="166" spans="1:9" x14ac:dyDescent="0.3">
      <c r="A166" s="2"/>
      <c r="B166" s="3"/>
      <c r="C166" s="3"/>
      <c r="D166" s="3"/>
      <c r="E166" s="3"/>
      <c r="F166" s="15"/>
      <c r="G166" s="15"/>
      <c r="H166" s="17"/>
      <c r="I166" s="3"/>
    </row>
    <row r="167" spans="1:9" x14ac:dyDescent="0.3">
      <c r="A167" s="2"/>
      <c r="B167" s="3"/>
      <c r="C167" s="3"/>
      <c r="D167" s="3"/>
      <c r="E167" s="3"/>
      <c r="F167" s="15"/>
      <c r="G167" s="15"/>
      <c r="H167" s="17"/>
      <c r="I167" s="3"/>
    </row>
    <row r="168" spans="1:9" x14ac:dyDescent="0.3">
      <c r="A168" s="2"/>
      <c r="B168" s="3"/>
      <c r="C168" s="3"/>
      <c r="D168" s="3"/>
      <c r="E168" s="3"/>
      <c r="F168" s="15"/>
      <c r="G168" s="15"/>
      <c r="H168" s="17"/>
      <c r="I168" s="3"/>
    </row>
    <row r="169" spans="1:9" x14ac:dyDescent="0.3">
      <c r="A169" s="2"/>
      <c r="B169" s="3"/>
      <c r="C169" s="3"/>
      <c r="D169" s="3"/>
      <c r="E169" s="3"/>
      <c r="F169" s="15"/>
      <c r="G169" s="15"/>
      <c r="H169" s="17"/>
      <c r="I169" s="3"/>
    </row>
    <row r="170" spans="1:9" x14ac:dyDescent="0.3">
      <c r="A170" s="2"/>
      <c r="B170" s="3"/>
      <c r="C170" s="3"/>
      <c r="D170" s="3"/>
      <c r="E170" s="3"/>
      <c r="F170" s="15"/>
      <c r="G170" s="15"/>
      <c r="H170" s="17"/>
      <c r="I170" s="3"/>
    </row>
    <row r="171" spans="1:9" x14ac:dyDescent="0.3">
      <c r="A171" s="2"/>
      <c r="B171" s="3"/>
      <c r="C171" s="3"/>
      <c r="D171" s="3"/>
      <c r="E171" s="3"/>
      <c r="F171" s="15"/>
      <c r="G171" s="15"/>
      <c r="H171" s="17"/>
      <c r="I171" s="3"/>
    </row>
    <row r="172" spans="1:9" x14ac:dyDescent="0.3">
      <c r="A172" s="2"/>
      <c r="B172" s="3"/>
      <c r="C172" s="3"/>
      <c r="D172" s="3"/>
      <c r="E172" s="3"/>
      <c r="F172" s="15"/>
      <c r="G172" s="15"/>
      <c r="H172" s="17"/>
      <c r="I172" s="3"/>
    </row>
    <row r="173" spans="1:9" x14ac:dyDescent="0.3">
      <c r="A173" s="2"/>
      <c r="B173" s="3"/>
      <c r="C173" s="3"/>
      <c r="D173" s="3"/>
      <c r="E173" s="3"/>
      <c r="F173" s="15"/>
      <c r="G173" s="15"/>
      <c r="H173" s="17"/>
      <c r="I173" s="3"/>
    </row>
    <row r="174" spans="1:9" x14ac:dyDescent="0.3">
      <c r="A174" s="2"/>
      <c r="B174" s="3"/>
      <c r="C174" s="3"/>
      <c r="D174" s="3"/>
      <c r="E174" s="3"/>
      <c r="F174" s="15"/>
      <c r="G174" s="15"/>
      <c r="H174" s="17"/>
      <c r="I174" s="3"/>
    </row>
    <row r="175" spans="1:9" x14ac:dyDescent="0.3">
      <c r="A175" s="2"/>
      <c r="B175" s="3"/>
      <c r="C175" s="3"/>
      <c r="D175" s="3"/>
      <c r="E175" s="3"/>
      <c r="F175" s="15"/>
      <c r="G175" s="15"/>
      <c r="H175" s="17"/>
      <c r="I175" s="3"/>
    </row>
    <row r="176" spans="1:9" x14ac:dyDescent="0.3">
      <c r="A176" s="2"/>
      <c r="B176" s="3"/>
      <c r="C176" s="3"/>
      <c r="D176" s="3"/>
      <c r="E176" s="3"/>
      <c r="F176" s="15"/>
      <c r="G176" s="15"/>
      <c r="H176" s="17"/>
      <c r="I176" s="3"/>
    </row>
    <row r="177" spans="1:9" x14ac:dyDescent="0.3">
      <c r="A177" s="2"/>
      <c r="B177" s="3"/>
      <c r="C177" s="3"/>
      <c r="D177" s="3"/>
      <c r="E177" s="3"/>
      <c r="F177" s="15"/>
      <c r="G177" s="15"/>
      <c r="H177" s="17"/>
      <c r="I177" s="3"/>
    </row>
    <row r="178" spans="1:9" x14ac:dyDescent="0.3">
      <c r="A178" s="2"/>
      <c r="B178" s="3"/>
      <c r="C178" s="3"/>
      <c r="D178" s="3"/>
      <c r="E178" s="3"/>
      <c r="F178" s="15"/>
      <c r="G178" s="15"/>
      <c r="H178" s="17"/>
      <c r="I178" s="3"/>
    </row>
    <row r="179" spans="1:9" x14ac:dyDescent="0.3">
      <c r="A179" s="2"/>
      <c r="B179" s="3"/>
      <c r="C179" s="3"/>
      <c r="D179" s="3"/>
      <c r="E179" s="3"/>
      <c r="F179" s="15"/>
      <c r="G179" s="15"/>
      <c r="H179" s="17"/>
      <c r="I179" s="3"/>
    </row>
    <row r="180" spans="1:9" x14ac:dyDescent="0.3">
      <c r="A180" s="2"/>
      <c r="B180" s="3"/>
      <c r="C180" s="3"/>
      <c r="D180" s="3"/>
      <c r="E180" s="3"/>
      <c r="F180" s="15"/>
      <c r="G180" s="15"/>
      <c r="H180" s="17"/>
      <c r="I180" s="3"/>
    </row>
    <row r="181" spans="1:9" x14ac:dyDescent="0.3">
      <c r="A181" s="2"/>
      <c r="B181" s="3"/>
      <c r="C181" s="3"/>
      <c r="D181" s="3"/>
      <c r="E181" s="3"/>
      <c r="F181" s="15"/>
      <c r="G181" s="15"/>
      <c r="H181" s="17"/>
      <c r="I181" s="3"/>
    </row>
    <row r="182" spans="1:9" x14ac:dyDescent="0.3">
      <c r="A182" s="2"/>
      <c r="B182" s="3"/>
      <c r="C182" s="3"/>
      <c r="D182" s="3"/>
      <c r="E182" s="3"/>
      <c r="F182" s="15"/>
      <c r="G182" s="15"/>
      <c r="H182" s="17"/>
      <c r="I182" s="3"/>
    </row>
    <row r="183" spans="1:9" x14ac:dyDescent="0.3">
      <c r="A183" s="2"/>
      <c r="B183" s="3"/>
      <c r="C183" s="3"/>
      <c r="D183" s="3"/>
      <c r="E183" s="3"/>
      <c r="F183" s="15"/>
      <c r="G183" s="15"/>
      <c r="H183" s="17"/>
      <c r="I183" s="3"/>
    </row>
    <row r="184" spans="1:9" x14ac:dyDescent="0.3">
      <c r="A184" s="2"/>
      <c r="B184" s="3"/>
      <c r="C184" s="3"/>
      <c r="D184" s="3"/>
      <c r="E184" s="3"/>
      <c r="F184" s="15"/>
      <c r="G184" s="15"/>
      <c r="H184" s="17"/>
      <c r="I184" s="3"/>
    </row>
    <row r="185" spans="1:9" x14ac:dyDescent="0.3">
      <c r="A185" s="2"/>
      <c r="B185" s="3"/>
      <c r="C185" s="3"/>
      <c r="D185" s="3"/>
      <c r="E185" s="3"/>
      <c r="F185" s="15"/>
      <c r="G185" s="15"/>
      <c r="H185" s="17"/>
      <c r="I185" s="3"/>
    </row>
    <row r="186" spans="1:9" x14ac:dyDescent="0.3">
      <c r="A186" s="2"/>
      <c r="B186" s="3"/>
      <c r="C186" s="3"/>
      <c r="D186" s="3"/>
      <c r="E186" s="3"/>
      <c r="F186" s="15"/>
      <c r="G186" s="15"/>
      <c r="H186" s="17"/>
      <c r="I186" s="3"/>
    </row>
    <row r="187" spans="1:9" x14ac:dyDescent="0.3">
      <c r="A187" s="2"/>
      <c r="B187" s="3"/>
      <c r="C187" s="3"/>
      <c r="D187" s="3"/>
      <c r="E187" s="3"/>
      <c r="F187" s="15"/>
      <c r="G187" s="15"/>
      <c r="H187" s="17"/>
      <c r="I187" s="3"/>
    </row>
    <row r="188" spans="1:9" x14ac:dyDescent="0.3">
      <c r="A188" s="2"/>
      <c r="B188" s="3"/>
      <c r="C188" s="3"/>
      <c r="D188" s="3"/>
      <c r="E188" s="3"/>
      <c r="F188" s="15"/>
      <c r="G188" s="15"/>
      <c r="H188" s="17"/>
      <c r="I188" s="3"/>
    </row>
    <row r="189" spans="1:9" x14ac:dyDescent="0.3">
      <c r="A189" s="2"/>
      <c r="B189" s="3"/>
      <c r="C189" s="3"/>
      <c r="D189" s="3"/>
      <c r="E189" s="3"/>
      <c r="F189" s="15"/>
      <c r="G189" s="15"/>
      <c r="H189" s="17"/>
      <c r="I189" s="3"/>
    </row>
    <row r="190" spans="1:9" x14ac:dyDescent="0.3">
      <c r="A190" s="2"/>
      <c r="B190" s="3"/>
      <c r="C190" s="3"/>
      <c r="D190" s="3"/>
      <c r="E190" s="3"/>
      <c r="F190" s="15"/>
      <c r="G190" s="15"/>
      <c r="H190" s="17"/>
      <c r="I190" s="3"/>
    </row>
    <row r="191" spans="1:9" x14ac:dyDescent="0.3">
      <c r="A191" s="2"/>
      <c r="B191" s="3"/>
      <c r="C191" s="3"/>
      <c r="D191" s="3"/>
      <c r="E191" s="3"/>
      <c r="F191" s="15"/>
      <c r="G191" s="15"/>
      <c r="H191" s="17"/>
      <c r="I191" s="3"/>
    </row>
    <row r="192" spans="1:9" x14ac:dyDescent="0.3">
      <c r="A192" s="2"/>
      <c r="B192" s="3"/>
      <c r="C192" s="3"/>
      <c r="D192" s="3"/>
      <c r="E192" s="3"/>
      <c r="F192" s="15"/>
      <c r="G192" s="15"/>
      <c r="H192" s="17"/>
      <c r="I192" s="3"/>
    </row>
    <row r="193" spans="1:9" x14ac:dyDescent="0.3">
      <c r="A193" s="2"/>
      <c r="B193" s="3"/>
      <c r="C193" s="3"/>
      <c r="D193" s="3"/>
      <c r="E193" s="3"/>
      <c r="F193" s="15"/>
      <c r="G193" s="15"/>
      <c r="H193" s="17"/>
      <c r="I193" s="3"/>
    </row>
    <row r="194" spans="1:9" x14ac:dyDescent="0.3">
      <c r="A194" s="2"/>
      <c r="B194" s="3"/>
      <c r="C194" s="3"/>
      <c r="D194" s="3"/>
      <c r="E194" s="3"/>
      <c r="F194" s="15"/>
      <c r="G194" s="15"/>
      <c r="H194" s="17"/>
      <c r="I194" s="3"/>
    </row>
    <row r="195" spans="1:9" x14ac:dyDescent="0.3">
      <c r="A195" s="2"/>
      <c r="B195" s="3"/>
      <c r="C195" s="3"/>
      <c r="D195" s="3"/>
      <c r="E195" s="3"/>
      <c r="F195" s="15"/>
      <c r="G195" s="15"/>
      <c r="H195" s="17"/>
      <c r="I195" s="3"/>
    </row>
    <row r="196" spans="1:9" x14ac:dyDescent="0.3">
      <c r="A196" s="2"/>
      <c r="B196" s="3"/>
      <c r="C196" s="3"/>
      <c r="D196" s="3"/>
      <c r="E196" s="3"/>
      <c r="F196" s="15"/>
      <c r="G196" s="15"/>
      <c r="H196" s="17"/>
      <c r="I196" s="3"/>
    </row>
    <row r="197" spans="1:9" x14ac:dyDescent="0.3">
      <c r="A197" s="2"/>
      <c r="B197" s="3"/>
      <c r="C197" s="3"/>
      <c r="D197" s="3"/>
      <c r="E197" s="3"/>
      <c r="F197" s="15"/>
      <c r="G197" s="15"/>
      <c r="H197" s="17"/>
      <c r="I197" s="3"/>
    </row>
    <row r="198" spans="1:9" x14ac:dyDescent="0.3">
      <c r="A198" s="2"/>
      <c r="B198" s="3"/>
      <c r="C198" s="3"/>
      <c r="D198" s="3"/>
      <c r="E198" s="3"/>
      <c r="F198" s="15"/>
      <c r="G198" s="15"/>
      <c r="H198" s="17"/>
      <c r="I198" s="3"/>
    </row>
    <row r="199" spans="1:9" x14ac:dyDescent="0.3">
      <c r="A199" s="2"/>
      <c r="B199" s="3"/>
      <c r="C199" s="3"/>
      <c r="D199" s="3"/>
      <c r="E199" s="3"/>
      <c r="F199" s="15"/>
      <c r="G199" s="15"/>
      <c r="H199" s="17"/>
      <c r="I199" s="3"/>
    </row>
    <row r="200" spans="1:9" x14ac:dyDescent="0.3">
      <c r="A200" s="2"/>
      <c r="B200" s="3"/>
      <c r="C200" s="3"/>
      <c r="D200" s="3"/>
      <c r="E200" s="3"/>
      <c r="F200" s="15"/>
      <c r="G200" s="15"/>
      <c r="H200" s="17"/>
      <c r="I200" s="3"/>
    </row>
    <row r="201" spans="1:9" x14ac:dyDescent="0.3">
      <c r="A201" s="2"/>
      <c r="B201" s="3"/>
      <c r="C201" s="3"/>
      <c r="D201" s="3"/>
      <c r="E201" s="3"/>
      <c r="F201" s="15"/>
      <c r="G201" s="15"/>
      <c r="H201" s="17"/>
      <c r="I201" s="3"/>
    </row>
    <row r="202" spans="1:9" x14ac:dyDescent="0.3">
      <c r="A202" s="2"/>
      <c r="B202" s="3"/>
      <c r="C202" s="3"/>
      <c r="D202" s="3"/>
      <c r="E202" s="3"/>
      <c r="F202" s="15"/>
      <c r="G202" s="15"/>
      <c r="H202" s="17"/>
      <c r="I202" s="3"/>
    </row>
    <row r="203" spans="1:9" x14ac:dyDescent="0.3">
      <c r="A203" s="2"/>
      <c r="B203" s="3"/>
      <c r="C203" s="3"/>
      <c r="D203" s="3"/>
      <c r="E203" s="3"/>
      <c r="F203" s="15"/>
      <c r="G203" s="15"/>
      <c r="H203" s="17"/>
      <c r="I203" s="3"/>
    </row>
    <row r="204" spans="1:9" x14ac:dyDescent="0.3">
      <c r="A204" s="2"/>
      <c r="B204" s="3"/>
      <c r="C204" s="3"/>
      <c r="D204" s="3"/>
      <c r="E204" s="3"/>
      <c r="F204" s="15"/>
      <c r="G204" s="15"/>
      <c r="H204" s="17"/>
      <c r="I204" s="3"/>
    </row>
    <row r="205" spans="1:9" x14ac:dyDescent="0.3">
      <c r="A205" s="2"/>
      <c r="B205" s="3"/>
      <c r="C205" s="3"/>
      <c r="D205" s="3"/>
      <c r="E205" s="3"/>
      <c r="F205" s="15"/>
      <c r="G205" s="15"/>
      <c r="H205" s="17"/>
      <c r="I205" s="3"/>
    </row>
    <row r="206" spans="1:9" x14ac:dyDescent="0.3">
      <c r="A206" s="2"/>
      <c r="B206" s="3"/>
      <c r="C206" s="3"/>
      <c r="D206" s="3"/>
      <c r="E206" s="3"/>
      <c r="F206" s="15"/>
      <c r="G206" s="15"/>
      <c r="H206" s="17"/>
      <c r="I206" s="3"/>
    </row>
    <row r="207" spans="1:9" x14ac:dyDescent="0.3">
      <c r="A207" s="2"/>
      <c r="B207" s="3"/>
      <c r="C207" s="3"/>
      <c r="D207" s="3"/>
      <c r="E207" s="3"/>
      <c r="F207" s="15"/>
      <c r="G207" s="15"/>
      <c r="H207" s="17"/>
      <c r="I207" s="3"/>
    </row>
    <row r="208" spans="1:9" x14ac:dyDescent="0.3">
      <c r="A208" s="2"/>
      <c r="B208" s="3"/>
      <c r="C208" s="3"/>
      <c r="D208" s="3"/>
      <c r="E208" s="3"/>
      <c r="F208" s="15"/>
      <c r="G208" s="15"/>
      <c r="H208" s="17"/>
      <c r="I208" s="3"/>
    </row>
    <row r="209" spans="1:9" x14ac:dyDescent="0.3">
      <c r="A209" s="2"/>
      <c r="B209" s="3"/>
      <c r="C209" s="3"/>
      <c r="D209" s="3"/>
      <c r="E209" s="3"/>
      <c r="F209" s="15"/>
      <c r="G209" s="15"/>
      <c r="H209" s="17"/>
      <c r="I209" s="3"/>
    </row>
    <row r="210" spans="1:9" x14ac:dyDescent="0.3">
      <c r="A210" s="2"/>
      <c r="B210" s="3"/>
      <c r="C210" s="3"/>
      <c r="D210" s="3"/>
      <c r="E210" s="3"/>
      <c r="F210" s="15"/>
      <c r="G210" s="15"/>
      <c r="H210" s="17"/>
      <c r="I210" s="3"/>
    </row>
    <row r="211" spans="1:9" x14ac:dyDescent="0.3">
      <c r="A211" s="2"/>
      <c r="B211" s="3"/>
      <c r="C211" s="3"/>
      <c r="D211" s="3"/>
      <c r="E211" s="3"/>
      <c r="F211" s="15"/>
      <c r="G211" s="15"/>
      <c r="H211" s="17"/>
      <c r="I211" s="3"/>
    </row>
    <row r="212" spans="1:9" x14ac:dyDescent="0.3">
      <c r="A212" s="2"/>
      <c r="B212" s="3"/>
      <c r="C212" s="3"/>
      <c r="D212" s="3"/>
      <c r="E212" s="3"/>
      <c r="F212" s="15"/>
      <c r="G212" s="15"/>
      <c r="H212" s="17"/>
      <c r="I212" s="3"/>
    </row>
    <row r="213" spans="1:9" x14ac:dyDescent="0.3">
      <c r="A213" s="2"/>
      <c r="B213" s="3"/>
      <c r="C213" s="3"/>
      <c r="D213" s="3"/>
      <c r="E213" s="3"/>
      <c r="F213" s="15"/>
      <c r="G213" s="15"/>
      <c r="H213" s="17"/>
      <c r="I213" s="3"/>
    </row>
    <row r="214" spans="1:9" x14ac:dyDescent="0.3">
      <c r="A214" s="2"/>
      <c r="B214" s="3"/>
      <c r="C214" s="3"/>
      <c r="D214" s="3"/>
      <c r="E214" s="3"/>
      <c r="F214" s="15"/>
      <c r="G214" s="15"/>
      <c r="H214" s="17"/>
      <c r="I214" s="3"/>
    </row>
    <row r="215" spans="1:9" x14ac:dyDescent="0.3">
      <c r="A215" s="2"/>
      <c r="B215" s="3"/>
      <c r="C215" s="3"/>
      <c r="D215" s="3"/>
      <c r="E215" s="3"/>
      <c r="F215" s="15"/>
      <c r="G215" s="15"/>
      <c r="H215" s="17"/>
      <c r="I215" s="3"/>
    </row>
    <row r="216" spans="1:9" x14ac:dyDescent="0.3">
      <c r="A216" s="2"/>
      <c r="B216" s="3"/>
      <c r="C216" s="3"/>
      <c r="D216" s="3"/>
      <c r="E216" s="3"/>
      <c r="F216" s="15"/>
      <c r="G216" s="15"/>
      <c r="H216" s="17"/>
      <c r="I216" s="3"/>
    </row>
    <row r="217" spans="1:9" x14ac:dyDescent="0.3">
      <c r="A217" s="2"/>
      <c r="B217" s="3"/>
      <c r="C217" s="3"/>
      <c r="D217" s="3"/>
      <c r="E217" s="3"/>
      <c r="F217" s="15"/>
      <c r="G217" s="15"/>
      <c r="H217" s="17"/>
      <c r="I217" s="3"/>
    </row>
    <row r="218" spans="1:9" x14ac:dyDescent="0.3">
      <c r="A218" s="2"/>
      <c r="B218" s="3"/>
      <c r="C218" s="3"/>
      <c r="D218" s="3"/>
      <c r="E218" s="3"/>
      <c r="F218" s="15"/>
      <c r="G218" s="15"/>
      <c r="H218" s="17"/>
      <c r="I218" s="3"/>
    </row>
    <row r="219" spans="1:9" x14ac:dyDescent="0.3">
      <c r="A219" s="2"/>
      <c r="B219" s="3"/>
      <c r="C219" s="3"/>
      <c r="D219" s="3"/>
      <c r="E219" s="3"/>
      <c r="F219" s="15"/>
      <c r="G219" s="15"/>
      <c r="H219" s="17"/>
      <c r="I219" s="3"/>
    </row>
    <row r="220" spans="1:9" x14ac:dyDescent="0.3">
      <c r="A220" s="2"/>
      <c r="B220" s="3"/>
      <c r="C220" s="3"/>
      <c r="D220" s="3"/>
      <c r="E220" s="3"/>
      <c r="F220" s="15"/>
      <c r="G220" s="15"/>
      <c r="H220" s="17"/>
      <c r="I220" s="3"/>
    </row>
    <row r="221" spans="1:9" x14ac:dyDescent="0.3">
      <c r="A221" s="2"/>
      <c r="B221" s="3"/>
      <c r="C221" s="3"/>
      <c r="D221" s="3"/>
      <c r="E221" s="3"/>
      <c r="F221" s="15"/>
      <c r="G221" s="15"/>
      <c r="H221" s="17"/>
      <c r="I221" s="3"/>
    </row>
    <row r="222" spans="1:9" x14ac:dyDescent="0.3">
      <c r="A222" s="2"/>
      <c r="B222" s="3"/>
      <c r="C222" s="3"/>
      <c r="D222" s="3"/>
      <c r="E222" s="3"/>
      <c r="F222" s="15"/>
      <c r="G222" s="15"/>
      <c r="H222" s="17"/>
      <c r="I222" s="3"/>
    </row>
    <row r="223" spans="1:9" x14ac:dyDescent="0.3">
      <c r="A223" s="2"/>
      <c r="B223" s="3"/>
      <c r="C223" s="3"/>
      <c r="D223" s="3"/>
      <c r="E223" s="3"/>
      <c r="F223" s="15"/>
      <c r="G223" s="15"/>
      <c r="H223" s="17"/>
      <c r="I223" s="3"/>
    </row>
    <row r="224" spans="1:9" x14ac:dyDescent="0.3">
      <c r="A224" s="2"/>
      <c r="B224" s="3"/>
      <c r="C224" s="3"/>
      <c r="D224" s="3"/>
      <c r="E224" s="3"/>
      <c r="F224" s="15"/>
      <c r="G224" s="15"/>
      <c r="H224" s="17"/>
      <c r="I224" s="3"/>
    </row>
    <row r="225" spans="1:9" x14ac:dyDescent="0.3">
      <c r="A225" s="2"/>
      <c r="B225" s="3"/>
      <c r="C225" s="3"/>
      <c r="D225" s="3"/>
      <c r="E225" s="3"/>
      <c r="F225" s="15"/>
      <c r="G225" s="15"/>
      <c r="H225" s="17"/>
      <c r="I225" s="3"/>
    </row>
    <row r="226" spans="1:9" x14ac:dyDescent="0.3">
      <c r="A226" s="2"/>
      <c r="B226" s="3"/>
      <c r="C226" s="3"/>
      <c r="D226" s="3"/>
      <c r="E226" s="3"/>
      <c r="F226" s="15"/>
      <c r="G226" s="15"/>
      <c r="H226" s="17"/>
      <c r="I226" s="3"/>
    </row>
    <row r="227" spans="1:9" x14ac:dyDescent="0.3">
      <c r="A227" s="2"/>
      <c r="B227" s="3"/>
      <c r="C227" s="3"/>
      <c r="D227" s="3"/>
      <c r="E227" s="3"/>
      <c r="F227" s="15"/>
      <c r="G227" s="15"/>
      <c r="H227" s="17"/>
      <c r="I227" s="3"/>
    </row>
    <row r="228" spans="1:9" x14ac:dyDescent="0.3">
      <c r="A228" s="2"/>
      <c r="B228" s="3"/>
      <c r="C228" s="3"/>
      <c r="D228" s="3"/>
      <c r="E228" s="3"/>
      <c r="F228" s="15"/>
      <c r="G228" s="15"/>
      <c r="H228" s="17"/>
      <c r="I228" s="3"/>
    </row>
    <row r="229" spans="1:9" x14ac:dyDescent="0.3">
      <c r="A229" s="2"/>
      <c r="B229" s="3"/>
      <c r="C229" s="3"/>
      <c r="D229" s="3"/>
      <c r="E229" s="3"/>
      <c r="F229" s="15"/>
      <c r="G229" s="15"/>
      <c r="H229" s="17"/>
      <c r="I229" s="3"/>
    </row>
    <row r="230" spans="1:9" x14ac:dyDescent="0.3">
      <c r="A230" s="2"/>
      <c r="B230" s="3"/>
      <c r="C230" s="3"/>
      <c r="D230" s="3"/>
      <c r="E230" s="3"/>
      <c r="F230" s="15"/>
      <c r="G230" s="15"/>
      <c r="H230" s="17"/>
      <c r="I230" s="3"/>
    </row>
    <row r="231" spans="1:9" x14ac:dyDescent="0.3">
      <c r="A231" s="2"/>
      <c r="B231" s="3"/>
      <c r="C231" s="3"/>
      <c r="D231" s="3"/>
      <c r="E231" s="3"/>
      <c r="F231" s="15"/>
      <c r="G231" s="15"/>
      <c r="H231" s="17"/>
      <c r="I231" s="3"/>
    </row>
    <row r="232" spans="1:9" x14ac:dyDescent="0.3">
      <c r="A232" s="2"/>
      <c r="B232" s="3"/>
      <c r="C232" s="3"/>
      <c r="D232" s="3"/>
      <c r="E232" s="3"/>
      <c r="F232" s="15"/>
      <c r="G232" s="15"/>
      <c r="H232" s="17"/>
      <c r="I232" s="3"/>
    </row>
    <row r="233" spans="1:9" x14ac:dyDescent="0.3">
      <c r="A233" s="2"/>
      <c r="B233" s="3"/>
      <c r="C233" s="3"/>
      <c r="D233" s="3"/>
      <c r="E233" s="3"/>
      <c r="F233" s="15"/>
      <c r="G233" s="15"/>
      <c r="H233" s="17"/>
      <c r="I233" s="3"/>
    </row>
    <row r="234" spans="1:9" x14ac:dyDescent="0.3">
      <c r="A234" s="2"/>
      <c r="B234" s="3"/>
      <c r="C234" s="3"/>
      <c r="D234" s="3"/>
      <c r="E234" s="3"/>
      <c r="F234" s="15"/>
      <c r="G234" s="15"/>
      <c r="H234" s="17"/>
      <c r="I234" s="3"/>
    </row>
    <row r="235" spans="1:9" x14ac:dyDescent="0.3">
      <c r="A235" s="2"/>
      <c r="B235" s="3"/>
      <c r="C235" s="3"/>
      <c r="D235" s="3"/>
      <c r="E235" s="3"/>
      <c r="F235" s="15"/>
      <c r="G235" s="15"/>
      <c r="H235" s="17"/>
      <c r="I235" s="3"/>
    </row>
    <row r="236" spans="1:9" x14ac:dyDescent="0.3">
      <c r="A236" s="2"/>
      <c r="B236" s="3"/>
      <c r="C236" s="3"/>
      <c r="D236" s="3"/>
      <c r="E236" s="3"/>
      <c r="F236" s="15"/>
      <c r="G236" s="15"/>
      <c r="H236" s="17"/>
      <c r="I236" s="3"/>
    </row>
    <row r="237" spans="1:9" x14ac:dyDescent="0.3">
      <c r="A237" s="2"/>
      <c r="B237" s="3"/>
      <c r="C237" s="3"/>
      <c r="D237" s="3"/>
      <c r="E237" s="3"/>
      <c r="F237" s="15"/>
      <c r="G237" s="15"/>
      <c r="H237" s="17"/>
      <c r="I237" s="3"/>
    </row>
    <row r="238" spans="1:9" x14ac:dyDescent="0.3">
      <c r="A238" s="2"/>
      <c r="B238" s="3"/>
      <c r="C238" s="3"/>
      <c r="D238" s="3"/>
      <c r="E238" s="3"/>
      <c r="F238" s="15"/>
      <c r="G238" s="15"/>
      <c r="H238" s="17"/>
      <c r="I238" s="3"/>
    </row>
    <row r="239" spans="1:9" x14ac:dyDescent="0.3">
      <c r="A239" s="2"/>
      <c r="B239" s="3"/>
      <c r="C239" s="3"/>
      <c r="D239" s="3"/>
      <c r="E239" s="3"/>
      <c r="F239" s="15"/>
      <c r="G239" s="15"/>
      <c r="H239" s="17"/>
      <c r="I239" s="3"/>
    </row>
    <row r="240" spans="1:9" x14ac:dyDescent="0.3">
      <c r="A240" s="2"/>
      <c r="B240" s="3"/>
      <c r="C240" s="3"/>
      <c r="D240" s="3"/>
      <c r="E240" s="3"/>
      <c r="F240" s="15"/>
      <c r="G240" s="15"/>
      <c r="H240" s="17"/>
      <c r="I240" s="3"/>
    </row>
    <row r="241" spans="1:9" x14ac:dyDescent="0.3">
      <c r="A241" s="2"/>
      <c r="B241" s="3"/>
      <c r="C241" s="3"/>
      <c r="D241" s="3"/>
      <c r="E241" s="3"/>
      <c r="F241" s="15"/>
      <c r="G241" s="15"/>
      <c r="H241" s="17"/>
      <c r="I241" s="3"/>
    </row>
    <row r="242" spans="1:9" x14ac:dyDescent="0.3">
      <c r="A242" s="2"/>
      <c r="B242" s="3"/>
      <c r="C242" s="3"/>
      <c r="D242" s="3"/>
      <c r="E242" s="3"/>
      <c r="F242" s="15"/>
      <c r="G242" s="15"/>
      <c r="H242" s="17"/>
      <c r="I242" s="3"/>
    </row>
    <row r="243" spans="1:9" x14ac:dyDescent="0.3">
      <c r="A243" s="2"/>
      <c r="B243" s="3"/>
      <c r="C243" s="3"/>
      <c r="D243" s="3"/>
      <c r="E243" s="3"/>
      <c r="F243" s="15"/>
      <c r="G243" s="15"/>
      <c r="H243" s="17"/>
      <c r="I243" s="3"/>
    </row>
    <row r="244" spans="1:9" x14ac:dyDescent="0.3">
      <c r="A244" s="2"/>
      <c r="B244" s="3"/>
      <c r="C244" s="3"/>
      <c r="D244" s="3"/>
      <c r="E244" s="3"/>
      <c r="F244" s="15"/>
      <c r="G244" s="15"/>
      <c r="H244" s="17"/>
      <c r="I244" s="3"/>
    </row>
    <row r="245" spans="1:9" x14ac:dyDescent="0.3">
      <c r="A245" s="2"/>
      <c r="B245" s="3"/>
      <c r="C245" s="3"/>
      <c r="D245" s="3"/>
      <c r="E245" s="3"/>
      <c r="F245" s="15"/>
      <c r="G245" s="15"/>
      <c r="H245" s="17"/>
      <c r="I245" s="3"/>
    </row>
    <row r="246" spans="1:9" x14ac:dyDescent="0.3">
      <c r="A246" s="2"/>
      <c r="B246" s="3"/>
      <c r="C246" s="3"/>
      <c r="D246" s="3"/>
      <c r="E246" s="3"/>
      <c r="F246" s="15"/>
      <c r="G246" s="15"/>
      <c r="H246" s="17"/>
      <c r="I246" s="3"/>
    </row>
    <row r="247" spans="1:9" x14ac:dyDescent="0.3">
      <c r="A247" s="2"/>
      <c r="B247" s="3"/>
      <c r="C247" s="3"/>
      <c r="D247" s="3"/>
      <c r="E247" s="3"/>
      <c r="F247" s="15"/>
      <c r="G247" s="15"/>
      <c r="H247" s="17"/>
      <c r="I247" s="3"/>
    </row>
    <row r="248" spans="1:9" x14ac:dyDescent="0.3">
      <c r="A248" s="2"/>
      <c r="B248" s="3"/>
      <c r="C248" s="3"/>
      <c r="D248" s="3"/>
      <c r="E248" s="3"/>
      <c r="F248" s="15"/>
      <c r="G248" s="15"/>
      <c r="H248" s="17"/>
      <c r="I248" s="3"/>
    </row>
    <row r="249" spans="1:9" x14ac:dyDescent="0.3">
      <c r="A249" s="2"/>
      <c r="B249" s="3"/>
      <c r="C249" s="3"/>
      <c r="D249" s="3"/>
      <c r="E249" s="3"/>
      <c r="F249" s="15"/>
      <c r="G249" s="15"/>
      <c r="H249" s="17"/>
      <c r="I249" s="3"/>
    </row>
    <row r="250" spans="1:9" x14ac:dyDescent="0.3">
      <c r="A250" s="2"/>
      <c r="B250" s="3"/>
      <c r="C250" s="3"/>
      <c r="D250" s="3"/>
      <c r="E250" s="3"/>
      <c r="F250" s="15"/>
      <c r="G250" s="15"/>
      <c r="H250" s="17"/>
      <c r="I250" s="3"/>
    </row>
    <row r="251" spans="1:9" x14ac:dyDescent="0.3">
      <c r="A251" s="2"/>
      <c r="B251" s="3"/>
      <c r="C251" s="3"/>
      <c r="D251" s="3"/>
      <c r="E251" s="3"/>
      <c r="F251" s="15"/>
      <c r="G251" s="15"/>
      <c r="H251" s="17"/>
      <c r="I251" s="3"/>
    </row>
    <row r="252" spans="1:9" x14ac:dyDescent="0.3">
      <c r="A252" s="2"/>
      <c r="B252" s="3"/>
      <c r="C252" s="3"/>
      <c r="D252" s="3"/>
      <c r="E252" s="3"/>
      <c r="F252" s="15"/>
      <c r="G252" s="15"/>
      <c r="H252" s="17"/>
      <c r="I252" s="3"/>
    </row>
    <row r="253" spans="1:9" x14ac:dyDescent="0.3">
      <c r="A253" s="2"/>
      <c r="B253" s="3"/>
      <c r="C253" s="3"/>
      <c r="D253" s="3"/>
      <c r="E253" s="3"/>
      <c r="F253" s="15"/>
      <c r="G253" s="15"/>
      <c r="H253" s="17"/>
      <c r="I253" s="3"/>
    </row>
    <row r="254" spans="1:9" x14ac:dyDescent="0.3">
      <c r="A254" s="2"/>
      <c r="B254" s="3"/>
      <c r="C254" s="3"/>
      <c r="D254" s="3"/>
      <c r="E254" s="3"/>
      <c r="F254" s="15"/>
      <c r="G254" s="15"/>
      <c r="H254" s="17"/>
      <c r="I254" s="3"/>
    </row>
    <row r="255" spans="1:9" x14ac:dyDescent="0.3">
      <c r="A255" s="2"/>
      <c r="B255" s="3"/>
      <c r="C255" s="3"/>
      <c r="D255" s="3"/>
      <c r="E255" s="3"/>
      <c r="F255" s="15"/>
      <c r="G255" s="15"/>
      <c r="H255" s="17"/>
      <c r="I255" s="3"/>
    </row>
    <row r="256" spans="1:9" x14ac:dyDescent="0.3">
      <c r="A256" s="2"/>
      <c r="B256" s="3"/>
      <c r="C256" s="3"/>
      <c r="D256" s="3"/>
      <c r="E256" s="3"/>
      <c r="F256" s="15"/>
      <c r="G256" s="15"/>
      <c r="H256" s="17"/>
      <c r="I256" s="3"/>
    </row>
    <row r="257" spans="1:9" x14ac:dyDescent="0.3">
      <c r="A257" s="2"/>
      <c r="B257" s="3"/>
      <c r="C257" s="3"/>
      <c r="D257" s="3"/>
      <c r="E257" s="3"/>
      <c r="F257" s="15"/>
      <c r="G257" s="15"/>
      <c r="H257" s="17"/>
      <c r="I257" s="3"/>
    </row>
    <row r="258" spans="1:9" x14ac:dyDescent="0.3">
      <c r="A258" s="2"/>
      <c r="B258" s="3"/>
      <c r="C258" s="3"/>
      <c r="D258" s="3"/>
      <c r="E258" s="3"/>
      <c r="F258" s="15"/>
      <c r="G258" s="15"/>
      <c r="H258" s="17"/>
      <c r="I258" s="3"/>
    </row>
    <row r="259" spans="1:9" x14ac:dyDescent="0.3">
      <c r="A259" s="2"/>
      <c r="B259" s="3"/>
      <c r="C259" s="3"/>
      <c r="D259" s="3"/>
      <c r="E259" s="3"/>
      <c r="F259" s="15"/>
      <c r="G259" s="15"/>
      <c r="H259" s="17"/>
      <c r="I259" s="3"/>
    </row>
    <row r="260" spans="1:9" x14ac:dyDescent="0.3">
      <c r="A260" s="2"/>
      <c r="B260" s="3"/>
      <c r="C260" s="3"/>
      <c r="D260" s="3"/>
      <c r="E260" s="3"/>
      <c r="F260" s="15"/>
      <c r="G260" s="15"/>
      <c r="H260" s="17"/>
      <c r="I260" s="3"/>
    </row>
    <row r="261" spans="1:9" x14ac:dyDescent="0.3">
      <c r="A261" s="2"/>
      <c r="B261" s="3"/>
      <c r="C261" s="3"/>
      <c r="D261" s="3"/>
      <c r="E261" s="3"/>
      <c r="F261" s="15"/>
      <c r="G261" s="15"/>
      <c r="H261" s="17"/>
      <c r="I261" s="3"/>
    </row>
    <row r="262" spans="1:9" x14ac:dyDescent="0.3">
      <c r="A262" s="2"/>
      <c r="B262" s="3"/>
      <c r="C262" s="3"/>
      <c r="D262" s="3"/>
      <c r="E262" s="3"/>
      <c r="F262" s="15"/>
      <c r="G262" s="15"/>
      <c r="H262" s="17"/>
      <c r="I262" s="3"/>
    </row>
    <row r="263" spans="1:9" x14ac:dyDescent="0.3">
      <c r="A263" s="2"/>
      <c r="B263" s="3"/>
      <c r="C263" s="3"/>
      <c r="D263" s="3"/>
      <c r="E263" s="3"/>
      <c r="F263" s="15"/>
      <c r="G263" s="15"/>
      <c r="H263" s="17"/>
      <c r="I263" s="3"/>
    </row>
    <row r="264" spans="1:9" x14ac:dyDescent="0.3">
      <c r="A264" s="2"/>
      <c r="B264" s="3"/>
      <c r="C264" s="3"/>
      <c r="D264" s="3"/>
      <c r="E264" s="3"/>
      <c r="F264" s="15"/>
      <c r="G264" s="15"/>
      <c r="H264" s="17"/>
      <c r="I264" s="3"/>
    </row>
    <row r="265" spans="1:9" x14ac:dyDescent="0.3">
      <c r="A265" s="2"/>
      <c r="B265" s="3"/>
      <c r="C265" s="3"/>
      <c r="D265" s="3"/>
      <c r="E265" s="3"/>
      <c r="F265" s="15"/>
      <c r="G265" s="15"/>
      <c r="H265" s="17"/>
      <c r="I265" s="3"/>
    </row>
    <row r="266" spans="1:9" x14ac:dyDescent="0.3">
      <c r="A266" s="2"/>
      <c r="B266" s="3"/>
      <c r="C266" s="3"/>
      <c r="D266" s="3"/>
      <c r="E266" s="3"/>
      <c r="F266" s="15"/>
      <c r="G266" s="15"/>
      <c r="H266" s="17"/>
      <c r="I266" s="3"/>
    </row>
    <row r="267" spans="1:9" x14ac:dyDescent="0.3">
      <c r="A267" s="2"/>
      <c r="B267" s="3"/>
      <c r="C267" s="3"/>
      <c r="D267" s="3"/>
      <c r="E267" s="3"/>
      <c r="F267" s="15"/>
      <c r="G267" s="15"/>
      <c r="H267" s="17"/>
      <c r="I267" s="3"/>
    </row>
    <row r="268" spans="1:9" x14ac:dyDescent="0.3">
      <c r="A268" s="2"/>
      <c r="B268" s="3"/>
      <c r="C268" s="3"/>
      <c r="D268" s="3"/>
      <c r="E268" s="3"/>
      <c r="F268" s="15"/>
      <c r="G268" s="15"/>
      <c r="H268" s="17"/>
      <c r="I268" s="3"/>
    </row>
    <row r="269" spans="1:9" x14ac:dyDescent="0.3">
      <c r="A269" s="2"/>
      <c r="B269" s="3"/>
      <c r="C269" s="3"/>
      <c r="D269" s="3"/>
      <c r="E269" s="3"/>
      <c r="F269" s="15"/>
      <c r="G269" s="15"/>
      <c r="H269" s="17"/>
      <c r="I269" s="3"/>
    </row>
    <row r="270" spans="1:9" x14ac:dyDescent="0.3">
      <c r="A270" s="2"/>
      <c r="B270" s="3"/>
      <c r="C270" s="3"/>
      <c r="D270" s="3"/>
      <c r="E270" s="3"/>
      <c r="F270" s="15"/>
      <c r="G270" s="15"/>
      <c r="H270" s="17"/>
      <c r="I270" s="3"/>
    </row>
    <row r="271" spans="1:9" x14ac:dyDescent="0.3">
      <c r="A271" s="2"/>
      <c r="B271" s="3"/>
      <c r="C271" s="3"/>
      <c r="D271" s="3"/>
      <c r="E271" s="3"/>
      <c r="F271" s="15"/>
      <c r="G271" s="15"/>
      <c r="H271" s="17"/>
      <c r="I271" s="3"/>
    </row>
    <row r="272" spans="1:9" x14ac:dyDescent="0.3">
      <c r="A272" s="2"/>
      <c r="B272" s="3"/>
      <c r="C272" s="3"/>
      <c r="D272" s="3"/>
      <c r="E272" s="3"/>
      <c r="F272" s="15"/>
      <c r="G272" s="15"/>
      <c r="H272" s="17"/>
      <c r="I272" s="3"/>
    </row>
    <row r="273" spans="1:9" x14ac:dyDescent="0.3">
      <c r="A273" s="2"/>
      <c r="B273" s="3"/>
      <c r="C273" s="3"/>
      <c r="D273" s="3"/>
      <c r="E273" s="3"/>
      <c r="F273" s="15"/>
      <c r="G273" s="15"/>
      <c r="H273" s="17"/>
      <c r="I273" s="3"/>
    </row>
    <row r="274" spans="1:9" x14ac:dyDescent="0.3">
      <c r="A274" s="2"/>
      <c r="B274" s="3"/>
      <c r="C274" s="3"/>
      <c r="D274" s="3"/>
      <c r="E274" s="3"/>
      <c r="F274" s="15"/>
      <c r="G274" s="15"/>
      <c r="H274" s="17"/>
      <c r="I274" s="3"/>
    </row>
    <row r="275" spans="1:9" x14ac:dyDescent="0.3">
      <c r="A275" s="2"/>
      <c r="B275" s="3"/>
      <c r="C275" s="3"/>
      <c r="D275" s="3"/>
      <c r="E275" s="3"/>
      <c r="F275" s="15"/>
      <c r="G275" s="15"/>
      <c r="H275" s="17"/>
      <c r="I275" s="3"/>
    </row>
    <row r="276" spans="1:9" x14ac:dyDescent="0.3">
      <c r="A276" s="2"/>
      <c r="B276" s="3"/>
      <c r="C276" s="3"/>
      <c r="D276" s="3"/>
      <c r="E276" s="3"/>
      <c r="F276" s="15"/>
      <c r="G276" s="15"/>
      <c r="H276" s="17"/>
      <c r="I276" s="3"/>
    </row>
    <row r="277" spans="1:9" x14ac:dyDescent="0.3">
      <c r="A277" s="2"/>
      <c r="B277" s="3"/>
      <c r="C277" s="3"/>
      <c r="D277" s="3"/>
      <c r="E277" s="3"/>
      <c r="F277" s="15"/>
      <c r="G277" s="15"/>
      <c r="H277" s="17"/>
      <c r="I277" s="3"/>
    </row>
    <row r="278" spans="1:9" x14ac:dyDescent="0.3">
      <c r="A278" s="2"/>
      <c r="B278" s="3"/>
      <c r="C278" s="3"/>
      <c r="D278" s="3"/>
      <c r="E278" s="3"/>
      <c r="F278" s="15"/>
      <c r="G278" s="15"/>
      <c r="H278" s="17"/>
      <c r="I278" s="3"/>
    </row>
    <row r="279" spans="1:9" x14ac:dyDescent="0.3">
      <c r="A279" s="2"/>
      <c r="B279" s="3"/>
      <c r="C279" s="3"/>
      <c r="D279" s="3"/>
      <c r="E279" s="3"/>
      <c r="F279" s="15"/>
      <c r="G279" s="15"/>
      <c r="H279" s="17"/>
      <c r="I279" s="3"/>
    </row>
    <row r="280" spans="1:9" x14ac:dyDescent="0.3">
      <c r="A280" s="2"/>
      <c r="B280" s="3"/>
      <c r="C280" s="3"/>
      <c r="D280" s="3"/>
      <c r="E280" s="3"/>
      <c r="F280" s="15"/>
      <c r="G280" s="15"/>
      <c r="H280" s="17"/>
      <c r="I280" s="3"/>
    </row>
    <row r="281" spans="1:9" x14ac:dyDescent="0.3">
      <c r="A281" s="2"/>
      <c r="B281" s="3"/>
      <c r="C281" s="3"/>
      <c r="D281" s="3"/>
      <c r="E281" s="3"/>
      <c r="F281" s="15"/>
      <c r="G281" s="15"/>
      <c r="H281" s="17"/>
      <c r="I281" s="3"/>
    </row>
    <row r="282" spans="1:9" x14ac:dyDescent="0.3">
      <c r="A282" s="2"/>
      <c r="B282" s="3"/>
      <c r="C282" s="3"/>
      <c r="D282" s="3"/>
      <c r="E282" s="3"/>
      <c r="F282" s="15"/>
      <c r="G282" s="15"/>
      <c r="H282" s="17"/>
      <c r="I282" s="3"/>
    </row>
    <row r="283" spans="1:9" x14ac:dyDescent="0.3">
      <c r="A283" s="2"/>
      <c r="B283" s="3"/>
      <c r="C283" s="3"/>
      <c r="D283" s="3"/>
      <c r="E283" s="3"/>
      <c r="F283" s="15"/>
      <c r="G283" s="15"/>
      <c r="H283" s="17"/>
      <c r="I283" s="3"/>
    </row>
    <row r="284" spans="1:9" x14ac:dyDescent="0.3">
      <c r="A284" s="2"/>
      <c r="B284" s="3"/>
      <c r="C284" s="3"/>
      <c r="D284" s="3"/>
      <c r="E284" s="3"/>
      <c r="F284" s="15"/>
      <c r="G284" s="15"/>
      <c r="H284" s="17"/>
      <c r="I284" s="3"/>
    </row>
    <row r="285" spans="1:9" x14ac:dyDescent="0.3">
      <c r="A285" s="2"/>
      <c r="B285" s="3"/>
      <c r="C285" s="3"/>
      <c r="D285" s="3"/>
      <c r="E285" s="3"/>
      <c r="F285" s="15"/>
      <c r="G285" s="15"/>
      <c r="H285" s="17"/>
      <c r="I285" s="3"/>
    </row>
    <row r="286" spans="1:9" x14ac:dyDescent="0.3">
      <c r="A286" s="2"/>
      <c r="B286" s="3"/>
      <c r="C286" s="3"/>
      <c r="D286" s="3"/>
      <c r="E286" s="3"/>
      <c r="F286" s="15"/>
      <c r="G286" s="15"/>
      <c r="H286" s="17"/>
      <c r="I286" s="3"/>
    </row>
    <row r="287" spans="1:9" x14ac:dyDescent="0.3">
      <c r="A287" s="2"/>
      <c r="B287" s="3"/>
      <c r="C287" s="3"/>
      <c r="D287" s="3"/>
      <c r="E287" s="3"/>
      <c r="F287" s="15"/>
      <c r="G287" s="15"/>
      <c r="H287" s="17"/>
      <c r="I287" s="3"/>
    </row>
    <row r="288" spans="1:9" x14ac:dyDescent="0.3">
      <c r="A288" s="2"/>
      <c r="B288" s="3"/>
      <c r="C288" s="3"/>
      <c r="D288" s="3"/>
      <c r="E288" s="3"/>
      <c r="F288" s="15"/>
      <c r="G288" s="15"/>
      <c r="H288" s="17"/>
      <c r="I288" s="3"/>
    </row>
    <row r="289" spans="1:9" x14ac:dyDescent="0.3">
      <c r="A289" s="2"/>
      <c r="B289" s="3"/>
      <c r="C289" s="3"/>
      <c r="D289" s="3"/>
      <c r="E289" s="3"/>
      <c r="F289" s="15"/>
      <c r="G289" s="15"/>
      <c r="H289" s="17"/>
      <c r="I289" s="3"/>
    </row>
    <row r="290" spans="1:9" x14ac:dyDescent="0.3">
      <c r="A290" s="2"/>
      <c r="B290" s="3"/>
      <c r="C290" s="3"/>
      <c r="D290" s="3"/>
      <c r="E290" s="3"/>
      <c r="F290" s="15"/>
      <c r="G290" s="15"/>
      <c r="H290" s="17"/>
      <c r="I290" s="3"/>
    </row>
    <row r="291" spans="1:9" x14ac:dyDescent="0.3">
      <c r="A291" s="2"/>
      <c r="B291" s="3"/>
      <c r="C291" s="3"/>
      <c r="D291" s="3"/>
      <c r="E291" s="3"/>
      <c r="F291" s="15"/>
      <c r="G291" s="15"/>
      <c r="H291" s="17"/>
      <c r="I291" s="3"/>
    </row>
    <row r="292" spans="1:9" x14ac:dyDescent="0.3">
      <c r="A292" s="2"/>
      <c r="B292" s="3"/>
      <c r="C292" s="3"/>
      <c r="D292" s="3"/>
      <c r="E292" s="3"/>
      <c r="F292" s="15"/>
      <c r="G292" s="15"/>
      <c r="H292" s="17"/>
      <c r="I292" s="3"/>
    </row>
    <row r="293" spans="1:9" x14ac:dyDescent="0.3">
      <c r="A293" s="2"/>
      <c r="B293" s="3"/>
      <c r="C293" s="3"/>
      <c r="D293" s="3"/>
      <c r="E293" s="3"/>
      <c r="F293" s="15"/>
      <c r="G293" s="15"/>
      <c r="H293" s="17"/>
      <c r="I293" s="3"/>
    </row>
    <row r="294" spans="1:9" x14ac:dyDescent="0.3">
      <c r="A294" s="2"/>
      <c r="B294" s="3"/>
      <c r="C294" s="3"/>
      <c r="D294" s="3"/>
      <c r="E294" s="3"/>
      <c r="F294" s="15"/>
      <c r="G294" s="15"/>
      <c r="H294" s="17"/>
      <c r="I294" s="3"/>
    </row>
    <row r="295" spans="1:9" x14ac:dyDescent="0.3">
      <c r="A295" s="2"/>
      <c r="B295" s="3"/>
      <c r="C295" s="3"/>
      <c r="D295" s="3"/>
      <c r="E295" s="3"/>
      <c r="F295" s="15"/>
      <c r="G295" s="15"/>
      <c r="H295" s="17"/>
      <c r="I295" s="3"/>
    </row>
    <row r="296" spans="1:9" x14ac:dyDescent="0.3">
      <c r="A296" s="2"/>
      <c r="B296" s="3"/>
      <c r="C296" s="3"/>
      <c r="D296" s="3"/>
      <c r="E296" s="3"/>
      <c r="F296" s="15"/>
      <c r="G296" s="15"/>
      <c r="H296" s="17"/>
      <c r="I296" s="3"/>
    </row>
    <row r="297" spans="1:9" x14ac:dyDescent="0.3">
      <c r="A297" s="2"/>
      <c r="B297" s="3"/>
      <c r="C297" s="3"/>
      <c r="D297" s="3"/>
      <c r="E297" s="3"/>
      <c r="F297" s="15"/>
      <c r="G297" s="15"/>
      <c r="H297" s="17"/>
      <c r="I297" s="3"/>
    </row>
    <row r="298" spans="1:9" x14ac:dyDescent="0.3">
      <c r="A298" s="2"/>
      <c r="B298" s="3"/>
      <c r="C298" s="3"/>
      <c r="D298" s="3"/>
      <c r="E298" s="3"/>
      <c r="F298" s="15"/>
      <c r="G298" s="15"/>
      <c r="H298" s="17"/>
      <c r="I298" s="3"/>
    </row>
    <row r="299" spans="1:9" x14ac:dyDescent="0.3">
      <c r="A299" s="2"/>
      <c r="B299" s="3"/>
      <c r="C299" s="3"/>
      <c r="D299" s="3"/>
      <c r="E299" s="3"/>
      <c r="F299" s="15"/>
      <c r="G299" s="15"/>
      <c r="H299" s="17"/>
      <c r="I299" s="3"/>
    </row>
    <row r="300" spans="1:9" x14ac:dyDescent="0.3">
      <c r="A300" s="2"/>
      <c r="B300" s="3"/>
      <c r="C300" s="3"/>
      <c r="D300" s="3"/>
      <c r="E300" s="3"/>
      <c r="F300" s="15"/>
      <c r="G300" s="15"/>
      <c r="H300" s="17"/>
      <c r="I300" s="3"/>
    </row>
    <row r="301" spans="1:9" x14ac:dyDescent="0.3">
      <c r="A301" s="2"/>
      <c r="B301" s="3"/>
      <c r="C301" s="3"/>
      <c r="D301" s="3"/>
      <c r="E301" s="3"/>
      <c r="F301" s="15"/>
      <c r="G301" s="15"/>
      <c r="H301" s="17"/>
      <c r="I301" s="3"/>
    </row>
    <row r="302" spans="1:9" x14ac:dyDescent="0.3">
      <c r="A302" s="2"/>
      <c r="B302" s="3"/>
      <c r="C302" s="3"/>
      <c r="D302" s="3"/>
      <c r="E302" s="3"/>
      <c r="F302" s="15"/>
      <c r="G302" s="15"/>
      <c r="H302" s="17"/>
      <c r="I302" s="3"/>
    </row>
    <row r="303" spans="1:9" x14ac:dyDescent="0.3">
      <c r="A303" s="2"/>
      <c r="B303" s="3"/>
      <c r="C303" s="3"/>
      <c r="D303" s="3"/>
      <c r="E303" s="3"/>
      <c r="F303" s="15"/>
      <c r="G303" s="15"/>
      <c r="H303" s="17"/>
      <c r="I303" s="3"/>
    </row>
    <row r="304" spans="1:9" x14ac:dyDescent="0.3">
      <c r="A304" s="2"/>
      <c r="B304" s="3"/>
      <c r="C304" s="3"/>
      <c r="D304" s="3"/>
      <c r="E304" s="3"/>
      <c r="F304" s="15"/>
      <c r="G304" s="15"/>
      <c r="H304" s="17"/>
      <c r="I304" s="3"/>
    </row>
    <row r="305" spans="1:9" x14ac:dyDescent="0.3">
      <c r="A305" s="2"/>
      <c r="B305" s="3"/>
      <c r="C305" s="3"/>
      <c r="D305" s="3"/>
      <c r="E305" s="3"/>
      <c r="F305" s="15"/>
      <c r="G305" s="15"/>
      <c r="H305" s="17"/>
      <c r="I305" s="3"/>
    </row>
    <row r="306" spans="1:9" x14ac:dyDescent="0.3">
      <c r="A306" s="2"/>
      <c r="B306" s="3"/>
      <c r="C306" s="3"/>
      <c r="D306" s="3"/>
      <c r="E306" s="3"/>
      <c r="F306" s="15"/>
      <c r="G306" s="15"/>
      <c r="H306" s="17"/>
      <c r="I306" s="3"/>
    </row>
    <row r="307" spans="1:9" x14ac:dyDescent="0.3">
      <c r="A307" s="2"/>
      <c r="B307" s="3"/>
      <c r="C307" s="3"/>
      <c r="D307" s="3"/>
      <c r="E307" s="3"/>
      <c r="F307" s="15"/>
      <c r="G307" s="15"/>
      <c r="H307" s="17"/>
      <c r="I307" s="3"/>
    </row>
    <row r="308" spans="1:9" x14ac:dyDescent="0.3">
      <c r="A308" s="2"/>
      <c r="B308" s="3"/>
      <c r="C308" s="3"/>
      <c r="D308" s="3"/>
      <c r="E308" s="3"/>
      <c r="F308" s="15"/>
      <c r="G308" s="15"/>
      <c r="H308" s="17"/>
      <c r="I308" s="3"/>
    </row>
    <row r="309" spans="1:9" x14ac:dyDescent="0.3">
      <c r="A309" s="2"/>
      <c r="B309" s="3"/>
      <c r="C309" s="3"/>
      <c r="D309" s="3"/>
      <c r="E309" s="3"/>
      <c r="F309" s="15"/>
      <c r="G309" s="15"/>
      <c r="H309" s="17"/>
      <c r="I309" s="3"/>
    </row>
    <row r="310" spans="1:9" x14ac:dyDescent="0.3">
      <c r="A310" s="2"/>
      <c r="B310" s="3"/>
      <c r="C310" s="3"/>
      <c r="D310" s="3"/>
      <c r="E310" s="3"/>
      <c r="F310" s="15"/>
      <c r="G310" s="15"/>
      <c r="H310" s="17"/>
      <c r="I310" s="3"/>
    </row>
    <row r="311" spans="1:9" x14ac:dyDescent="0.3">
      <c r="A311" s="2"/>
      <c r="B311" s="3"/>
      <c r="C311" s="3"/>
      <c r="D311" s="3"/>
      <c r="E311" s="3"/>
      <c r="F311" s="15"/>
      <c r="G311" s="15"/>
      <c r="H311" s="17"/>
      <c r="I311" s="3"/>
    </row>
    <row r="312" spans="1:9" x14ac:dyDescent="0.3">
      <c r="A312" s="2"/>
      <c r="B312" s="3"/>
      <c r="C312" s="3"/>
      <c r="D312" s="3"/>
      <c r="E312" s="3"/>
      <c r="F312" s="15"/>
      <c r="G312" s="15"/>
      <c r="H312" s="17"/>
      <c r="I312" s="3"/>
    </row>
    <row r="313" spans="1:9" x14ac:dyDescent="0.3">
      <c r="A313" s="2"/>
      <c r="B313" s="3"/>
      <c r="C313" s="3"/>
      <c r="D313" s="3"/>
      <c r="E313" s="3"/>
      <c r="F313" s="15"/>
      <c r="G313" s="15"/>
      <c r="H313" s="17"/>
      <c r="I313" s="3"/>
    </row>
    <row r="314" spans="1:9" x14ac:dyDescent="0.3">
      <c r="A314" s="2"/>
      <c r="B314" s="3"/>
      <c r="C314" s="3"/>
      <c r="D314" s="3"/>
      <c r="E314" s="3"/>
      <c r="F314" s="15"/>
      <c r="G314" s="15"/>
      <c r="H314" s="17"/>
      <c r="I314" s="3"/>
    </row>
    <row r="315" spans="1:9" x14ac:dyDescent="0.3">
      <c r="A315" s="2"/>
      <c r="B315" s="3"/>
      <c r="C315" s="3"/>
      <c r="D315" s="3"/>
      <c r="E315" s="3"/>
      <c r="F315" s="15"/>
      <c r="G315" s="15"/>
      <c r="H315" s="17"/>
      <c r="I315" s="3"/>
    </row>
    <row r="316" spans="1:9" x14ac:dyDescent="0.3">
      <c r="A316" s="2"/>
      <c r="B316" s="3"/>
      <c r="C316" s="3"/>
      <c r="D316" s="3"/>
      <c r="E316" s="3"/>
      <c r="F316" s="15"/>
      <c r="G316" s="15"/>
      <c r="H316" s="17"/>
      <c r="I316" s="3"/>
    </row>
    <row r="317" spans="1:9" x14ac:dyDescent="0.3">
      <c r="A317" s="2"/>
      <c r="B317" s="3"/>
      <c r="C317" s="3"/>
      <c r="D317" s="3"/>
      <c r="E317" s="3"/>
      <c r="F317" s="15"/>
      <c r="G317" s="15"/>
      <c r="H317" s="17"/>
      <c r="I317" s="3"/>
    </row>
    <row r="318" spans="1:9" x14ac:dyDescent="0.3">
      <c r="A318" s="2"/>
      <c r="B318" s="3"/>
      <c r="C318" s="3"/>
      <c r="D318" s="3"/>
      <c r="E318" s="3"/>
      <c r="F318" s="15"/>
      <c r="G318" s="15"/>
      <c r="H318" s="17"/>
      <c r="I318" s="3"/>
    </row>
    <row r="319" spans="1:9" x14ac:dyDescent="0.3">
      <c r="A319" s="2"/>
      <c r="B319" s="3"/>
      <c r="C319" s="3"/>
      <c r="D319" s="3"/>
      <c r="E319" s="3"/>
      <c r="F319" s="15"/>
      <c r="G319" s="15"/>
      <c r="H319" s="17"/>
      <c r="I319" s="3"/>
    </row>
    <row r="320" spans="1:9" x14ac:dyDescent="0.3">
      <c r="A320" s="2"/>
      <c r="B320" s="3"/>
      <c r="C320" s="3"/>
      <c r="D320" s="3"/>
      <c r="E320" s="3"/>
      <c r="F320" s="15"/>
      <c r="G320" s="15"/>
      <c r="H320" s="17"/>
      <c r="I320" s="3"/>
    </row>
    <row r="321" spans="1:9" x14ac:dyDescent="0.3">
      <c r="A321" s="2"/>
      <c r="B321" s="3"/>
      <c r="C321" s="3"/>
      <c r="D321" s="3"/>
      <c r="E321" s="3"/>
      <c r="F321" s="15"/>
      <c r="G321" s="15"/>
      <c r="H321" s="17"/>
      <c r="I321" s="3"/>
    </row>
    <row r="322" spans="1:9" x14ac:dyDescent="0.3">
      <c r="A322" s="2"/>
      <c r="B322" s="3"/>
      <c r="C322" s="3"/>
      <c r="D322" s="3"/>
      <c r="E322" s="3"/>
      <c r="F322" s="15"/>
      <c r="G322" s="15"/>
      <c r="H322" s="17"/>
      <c r="I322" s="3"/>
    </row>
    <row r="323" spans="1:9" x14ac:dyDescent="0.3">
      <c r="A323" s="2"/>
      <c r="B323" s="3"/>
      <c r="C323" s="3"/>
      <c r="D323" s="3"/>
      <c r="E323" s="3"/>
      <c r="F323" s="15"/>
      <c r="G323" s="15"/>
      <c r="H323" s="17"/>
      <c r="I323" s="3"/>
    </row>
    <row r="324" spans="1:9" x14ac:dyDescent="0.3">
      <c r="A324" s="2"/>
      <c r="B324" s="3"/>
      <c r="C324" s="3"/>
      <c r="D324" s="3"/>
      <c r="E324" s="3"/>
      <c r="F324" s="15"/>
      <c r="G324" s="15"/>
      <c r="H324" s="17"/>
      <c r="I324" s="3"/>
    </row>
    <row r="325" spans="1:9" x14ac:dyDescent="0.3">
      <c r="A325" s="2"/>
      <c r="B325" s="3"/>
      <c r="C325" s="3"/>
      <c r="D325" s="3"/>
      <c r="E325" s="3"/>
      <c r="F325" s="15"/>
      <c r="G325" s="15"/>
      <c r="H325" s="17"/>
      <c r="I325" s="3"/>
    </row>
    <row r="326" spans="1:9" x14ac:dyDescent="0.3">
      <c r="A326" s="2"/>
      <c r="B326" s="3"/>
      <c r="C326" s="3"/>
      <c r="D326" s="3"/>
      <c r="E326" s="3"/>
      <c r="F326" s="15"/>
      <c r="G326" s="15"/>
      <c r="H326" s="17"/>
      <c r="I326" s="3"/>
    </row>
    <row r="327" spans="1:9" x14ac:dyDescent="0.3">
      <c r="A327" s="2"/>
      <c r="B327" s="3"/>
      <c r="C327" s="3"/>
      <c r="D327" s="3"/>
      <c r="E327" s="3"/>
      <c r="F327" s="15"/>
      <c r="G327" s="15"/>
      <c r="H327" s="17"/>
      <c r="I327" s="3"/>
    </row>
    <row r="328" spans="1:9" x14ac:dyDescent="0.3">
      <c r="A328" s="2"/>
      <c r="B328" s="3"/>
      <c r="C328" s="3"/>
      <c r="D328" s="3"/>
      <c r="E328" s="3"/>
      <c r="F328" s="15"/>
      <c r="G328" s="15"/>
      <c r="H328" s="17"/>
      <c r="I328" s="3"/>
    </row>
    <row r="329" spans="1:9" x14ac:dyDescent="0.3">
      <c r="A329" s="2"/>
      <c r="B329" s="3"/>
      <c r="C329" s="3"/>
      <c r="D329" s="3"/>
      <c r="E329" s="3"/>
      <c r="F329" s="15"/>
      <c r="G329" s="15"/>
      <c r="H329" s="17"/>
      <c r="I329" s="3"/>
    </row>
    <row r="330" spans="1:9" x14ac:dyDescent="0.3">
      <c r="A330" s="2"/>
      <c r="B330" s="3"/>
      <c r="C330" s="3"/>
      <c r="D330" s="3"/>
      <c r="E330" s="3"/>
      <c r="F330" s="15"/>
      <c r="G330" s="15"/>
      <c r="H330" s="17"/>
      <c r="I330" s="3"/>
    </row>
    <row r="331" spans="1:9" x14ac:dyDescent="0.3">
      <c r="A331" s="2"/>
      <c r="B331" s="3"/>
      <c r="C331" s="3"/>
      <c r="D331" s="3"/>
      <c r="E331" s="3"/>
      <c r="F331" s="15"/>
      <c r="G331" s="15"/>
      <c r="H331" s="17"/>
      <c r="I331" s="3"/>
    </row>
    <row r="332" spans="1:9" x14ac:dyDescent="0.3">
      <c r="A332" s="2"/>
      <c r="B332" s="3"/>
      <c r="C332" s="3"/>
      <c r="D332" s="3"/>
      <c r="E332" s="3"/>
      <c r="F332" s="15"/>
      <c r="G332" s="15"/>
      <c r="H332" s="17"/>
      <c r="I332" s="3"/>
    </row>
    <row r="333" spans="1:9" x14ac:dyDescent="0.3">
      <c r="A333" s="2"/>
      <c r="B333" s="3"/>
      <c r="C333" s="3"/>
      <c r="D333" s="3"/>
      <c r="E333" s="3"/>
      <c r="F333" s="15"/>
      <c r="G333" s="15"/>
      <c r="H333" s="17"/>
      <c r="I333" s="3"/>
    </row>
    <row r="334" spans="1:9" x14ac:dyDescent="0.3">
      <c r="A334" s="2"/>
      <c r="B334" s="3"/>
      <c r="C334" s="3"/>
      <c r="D334" s="3"/>
      <c r="E334" s="3"/>
      <c r="F334" s="15"/>
      <c r="G334" s="15"/>
      <c r="H334" s="17"/>
      <c r="I334" s="3"/>
    </row>
    <row r="335" spans="1:9" x14ac:dyDescent="0.3">
      <c r="A335" s="2"/>
      <c r="B335" s="3"/>
      <c r="C335" s="3"/>
      <c r="D335" s="3"/>
      <c r="E335" s="3"/>
      <c r="F335" s="15"/>
      <c r="G335" s="15"/>
      <c r="H335" s="17"/>
      <c r="I335" s="3"/>
    </row>
    <row r="336" spans="1:9" x14ac:dyDescent="0.3">
      <c r="A336" s="2"/>
      <c r="B336" s="3"/>
      <c r="C336" s="3"/>
      <c r="D336" s="3"/>
      <c r="E336" s="3"/>
      <c r="F336" s="15"/>
      <c r="G336" s="15"/>
      <c r="H336" s="17"/>
      <c r="I336" s="3"/>
    </row>
    <row r="337" spans="1:9" x14ac:dyDescent="0.3">
      <c r="A337" s="2"/>
      <c r="B337" s="3"/>
      <c r="C337" s="3"/>
      <c r="D337" s="3"/>
      <c r="E337" s="3"/>
      <c r="F337" s="15"/>
      <c r="G337" s="15"/>
      <c r="H337" s="17"/>
      <c r="I337" s="3"/>
    </row>
    <row r="338" spans="1:9" x14ac:dyDescent="0.3">
      <c r="A338" s="2"/>
      <c r="B338" s="3"/>
      <c r="C338" s="3"/>
      <c r="D338" s="3"/>
      <c r="E338" s="3"/>
      <c r="F338" s="15"/>
      <c r="G338" s="15"/>
      <c r="H338" s="17"/>
      <c r="I338" s="3"/>
    </row>
    <row r="339" spans="1:9" x14ac:dyDescent="0.3">
      <c r="A339" s="2"/>
      <c r="B339" s="3"/>
      <c r="C339" s="3"/>
      <c r="D339" s="3"/>
      <c r="E339" s="3"/>
      <c r="F339" s="15"/>
      <c r="G339" s="15"/>
      <c r="H339" s="17"/>
      <c r="I339" s="3"/>
    </row>
    <row r="340" spans="1:9" x14ac:dyDescent="0.3">
      <c r="A340" s="2"/>
      <c r="B340" s="3"/>
      <c r="C340" s="3"/>
      <c r="D340" s="3"/>
      <c r="E340" s="3"/>
      <c r="F340" s="15"/>
      <c r="G340" s="15"/>
      <c r="H340" s="17"/>
      <c r="I340" s="3"/>
    </row>
    <row r="341" spans="1:9" x14ac:dyDescent="0.3">
      <c r="A341" s="2"/>
      <c r="B341" s="3"/>
      <c r="C341" s="3"/>
      <c r="D341" s="3"/>
      <c r="E341" s="3"/>
      <c r="F341" s="15"/>
      <c r="G341" s="15"/>
      <c r="H341" s="17"/>
      <c r="I341" s="3"/>
    </row>
    <row r="342" spans="1:9" x14ac:dyDescent="0.3">
      <c r="A342" s="2"/>
      <c r="B342" s="3"/>
      <c r="C342" s="3"/>
      <c r="D342" s="3"/>
      <c r="E342" s="3"/>
      <c r="F342" s="15"/>
      <c r="G342" s="15"/>
      <c r="H342" s="17"/>
      <c r="I342" s="3"/>
    </row>
    <row r="343" spans="1:9" x14ac:dyDescent="0.3">
      <c r="A343" s="2"/>
      <c r="B343" s="3"/>
      <c r="C343" s="3"/>
      <c r="D343" s="3"/>
      <c r="E343" s="3"/>
      <c r="F343" s="15"/>
      <c r="G343" s="15"/>
      <c r="H343" s="17"/>
      <c r="I343" s="3"/>
    </row>
    <row r="344" spans="1:9" x14ac:dyDescent="0.3">
      <c r="A344" s="2"/>
      <c r="B344" s="3"/>
      <c r="C344" s="3"/>
      <c r="D344" s="3"/>
      <c r="E344" s="3"/>
      <c r="F344" s="15"/>
      <c r="G344" s="15"/>
      <c r="H344" s="17"/>
      <c r="I344" s="3"/>
    </row>
    <row r="345" spans="1:9" x14ac:dyDescent="0.3">
      <c r="A345" s="2"/>
      <c r="B345" s="3"/>
      <c r="C345" s="3"/>
      <c r="D345" s="3"/>
      <c r="E345" s="3"/>
      <c r="F345" s="15"/>
      <c r="G345" s="15"/>
      <c r="H345" s="17"/>
      <c r="I345" s="3"/>
    </row>
    <row r="346" spans="1:9" x14ac:dyDescent="0.3">
      <c r="A346" s="2"/>
      <c r="B346" s="3"/>
      <c r="C346" s="3"/>
      <c r="D346" s="3"/>
      <c r="E346" s="3"/>
      <c r="F346" s="15"/>
      <c r="G346" s="15"/>
      <c r="H346" s="17"/>
      <c r="I346" s="3"/>
    </row>
    <row r="347" spans="1:9" x14ac:dyDescent="0.3">
      <c r="A347" s="2"/>
      <c r="B347" s="3"/>
      <c r="C347" s="3"/>
      <c r="D347" s="3"/>
      <c r="E347" s="3"/>
      <c r="F347" s="15"/>
      <c r="G347" s="15"/>
      <c r="H347" s="17"/>
      <c r="I347" s="3"/>
    </row>
    <row r="348" spans="1:9" x14ac:dyDescent="0.3">
      <c r="A348" s="2"/>
      <c r="B348" s="3"/>
      <c r="C348" s="3"/>
      <c r="D348" s="3"/>
      <c r="E348" s="3"/>
      <c r="F348" s="15"/>
      <c r="G348" s="15"/>
      <c r="H348" s="17"/>
      <c r="I348" s="3"/>
    </row>
    <row r="349" spans="1:9" x14ac:dyDescent="0.3">
      <c r="A349" s="2"/>
      <c r="B349" s="3"/>
      <c r="C349" s="3"/>
      <c r="D349" s="3"/>
      <c r="E349" s="3"/>
      <c r="F349" s="15"/>
      <c r="G349" s="15"/>
      <c r="H349" s="17"/>
      <c r="I349" s="3"/>
    </row>
    <row r="350" spans="1:9" x14ac:dyDescent="0.3">
      <c r="A350" s="2"/>
      <c r="B350" s="3"/>
      <c r="C350" s="3"/>
      <c r="D350" s="3"/>
      <c r="E350" s="3"/>
      <c r="F350" s="15"/>
      <c r="G350" s="15"/>
      <c r="H350" s="17"/>
      <c r="I350" s="3"/>
    </row>
    <row r="351" spans="1:9" x14ac:dyDescent="0.3">
      <c r="A351" s="2"/>
      <c r="B351" s="3"/>
      <c r="C351" s="3"/>
      <c r="D351" s="3"/>
      <c r="E351" s="3"/>
      <c r="F351" s="15"/>
      <c r="G351" s="15"/>
      <c r="H351" s="17"/>
      <c r="I351" s="3"/>
    </row>
    <row r="352" spans="1:9" x14ac:dyDescent="0.3">
      <c r="A352" s="2"/>
      <c r="B352" s="3"/>
      <c r="C352" s="3"/>
      <c r="D352" s="3"/>
      <c r="E352" s="3"/>
      <c r="F352" s="15"/>
      <c r="G352" s="15"/>
      <c r="H352" s="17"/>
      <c r="I352" s="3"/>
    </row>
    <row r="353" spans="1:9" x14ac:dyDescent="0.3">
      <c r="A353" s="2"/>
      <c r="B353" s="3"/>
      <c r="C353" s="3"/>
      <c r="D353" s="3"/>
      <c r="E353" s="3"/>
      <c r="F353" s="15"/>
      <c r="G353" s="15"/>
      <c r="H353" s="17"/>
      <c r="I353" s="3"/>
    </row>
    <row r="354" spans="1:9" x14ac:dyDescent="0.3">
      <c r="A354" s="2"/>
      <c r="B354" s="3"/>
      <c r="C354" s="3"/>
      <c r="D354" s="3"/>
      <c r="E354" s="3"/>
      <c r="F354" s="15"/>
      <c r="G354" s="15"/>
      <c r="H354" s="17"/>
      <c r="I354" s="3"/>
    </row>
    <row r="355" spans="1:9" x14ac:dyDescent="0.3">
      <c r="A355" s="2"/>
      <c r="B355" s="3"/>
      <c r="C355" s="3"/>
      <c r="D355" s="3"/>
      <c r="E355" s="3"/>
      <c r="F355" s="15"/>
      <c r="G355" s="15"/>
      <c r="H355" s="17"/>
      <c r="I355" s="3"/>
    </row>
    <row r="356" spans="1:9" x14ac:dyDescent="0.3">
      <c r="A356" s="2"/>
      <c r="B356" s="3"/>
      <c r="C356" s="3"/>
      <c r="D356" s="3"/>
      <c r="E356" s="3"/>
      <c r="F356" s="15"/>
      <c r="G356" s="15"/>
      <c r="H356" s="17"/>
      <c r="I356" s="3"/>
    </row>
    <row r="357" spans="1:9" x14ac:dyDescent="0.3">
      <c r="A357" s="2"/>
      <c r="B357" s="3"/>
      <c r="C357" s="3"/>
      <c r="D357" s="3"/>
      <c r="E357" s="3"/>
      <c r="F357" s="15"/>
      <c r="G357" s="15"/>
      <c r="H357" s="17"/>
      <c r="I357" s="3"/>
    </row>
    <row r="358" spans="1:9" x14ac:dyDescent="0.3">
      <c r="A358" s="2"/>
      <c r="B358" s="3"/>
      <c r="C358" s="3"/>
      <c r="D358" s="3"/>
      <c r="E358" s="3"/>
      <c r="F358" s="15"/>
      <c r="G358" s="15"/>
      <c r="H358" s="17"/>
      <c r="I358" s="3"/>
    </row>
    <row r="359" spans="1:9" x14ac:dyDescent="0.3">
      <c r="A359" s="2"/>
      <c r="B359" s="3"/>
      <c r="C359" s="3"/>
      <c r="D359" s="3"/>
      <c r="E359" s="3"/>
      <c r="F359" s="15"/>
      <c r="G359" s="15"/>
      <c r="H359" s="17"/>
      <c r="I359" s="3"/>
    </row>
    <row r="360" spans="1:9" x14ac:dyDescent="0.3">
      <c r="A360" s="2"/>
      <c r="B360" s="3"/>
      <c r="C360" s="3"/>
      <c r="D360" s="3"/>
      <c r="E360" s="3"/>
      <c r="F360" s="15"/>
      <c r="G360" s="15"/>
      <c r="H360" s="17"/>
      <c r="I360" s="3"/>
    </row>
    <row r="361" spans="1:9" x14ac:dyDescent="0.3">
      <c r="A361" s="2"/>
      <c r="B361" s="3"/>
      <c r="C361" s="3"/>
      <c r="D361" s="3"/>
      <c r="E361" s="3"/>
      <c r="F361" s="15"/>
      <c r="G361" s="15"/>
      <c r="H361" s="17"/>
      <c r="I361" s="3"/>
    </row>
    <row r="362" spans="1:9" x14ac:dyDescent="0.3">
      <c r="A362" s="2"/>
      <c r="B362" s="3"/>
      <c r="C362" s="3"/>
      <c r="D362" s="3"/>
      <c r="E362" s="3"/>
      <c r="F362" s="15"/>
      <c r="G362" s="15"/>
      <c r="H362" s="17"/>
      <c r="I362" s="3"/>
    </row>
    <row r="363" spans="1:9" x14ac:dyDescent="0.3">
      <c r="A363" s="2"/>
      <c r="B363" s="3"/>
      <c r="C363" s="3"/>
      <c r="D363" s="3"/>
      <c r="E363" s="3"/>
      <c r="F363" s="15"/>
      <c r="G363" s="15"/>
      <c r="H363" s="17"/>
      <c r="I363" s="3"/>
    </row>
    <row r="364" spans="1:9" x14ac:dyDescent="0.3">
      <c r="A364" s="2"/>
      <c r="B364" s="3"/>
      <c r="C364" s="3"/>
      <c r="D364" s="3"/>
      <c r="E364" s="3"/>
      <c r="F364" s="15"/>
      <c r="G364" s="15"/>
      <c r="H364" s="17"/>
      <c r="I364" s="3"/>
    </row>
    <row r="365" spans="1:9" x14ac:dyDescent="0.3">
      <c r="A365" s="2"/>
      <c r="B365" s="3"/>
      <c r="C365" s="3"/>
      <c r="D365" s="3"/>
      <c r="E365" s="3"/>
      <c r="F365" s="15"/>
      <c r="G365" s="15"/>
      <c r="H365" s="17"/>
      <c r="I365" s="3"/>
    </row>
    <row r="366" spans="1:9" x14ac:dyDescent="0.3">
      <c r="A366" s="2"/>
      <c r="B366" s="3"/>
      <c r="C366" s="3"/>
      <c r="D366" s="3"/>
      <c r="E366" s="3"/>
      <c r="F366" s="15"/>
      <c r="G366" s="15"/>
      <c r="H366" s="17"/>
      <c r="I366" s="3"/>
    </row>
    <row r="367" spans="1:9" x14ac:dyDescent="0.3">
      <c r="A367" s="2"/>
      <c r="B367" s="3"/>
      <c r="C367" s="3"/>
      <c r="D367" s="3"/>
      <c r="E367" s="3"/>
      <c r="F367" s="15"/>
      <c r="G367" s="15"/>
      <c r="H367" s="17"/>
      <c r="I367" s="3"/>
    </row>
    <row r="368" spans="1:9" x14ac:dyDescent="0.3">
      <c r="A368" s="2"/>
      <c r="B368" s="3"/>
      <c r="C368" s="3"/>
      <c r="D368" s="3"/>
      <c r="E368" s="3"/>
      <c r="F368" s="15"/>
      <c r="G368" s="15"/>
      <c r="H368" s="17"/>
      <c r="I368" s="3"/>
    </row>
    <row r="369" spans="1:9" x14ac:dyDescent="0.3">
      <c r="A369" s="2"/>
      <c r="B369" s="3"/>
      <c r="C369" s="3"/>
      <c r="D369" s="3"/>
      <c r="E369" s="3"/>
      <c r="F369" s="15"/>
      <c r="G369" s="15"/>
      <c r="H369" s="17"/>
      <c r="I369" s="3"/>
    </row>
    <row r="370" spans="1:9" x14ac:dyDescent="0.3">
      <c r="A370" s="2"/>
      <c r="B370" s="3"/>
      <c r="C370" s="3"/>
      <c r="D370" s="3"/>
      <c r="E370" s="3"/>
      <c r="F370" s="15"/>
      <c r="G370" s="15"/>
      <c r="H370" s="17"/>
      <c r="I370" s="3"/>
    </row>
    <row r="371" spans="1:9" x14ac:dyDescent="0.3">
      <c r="A371" s="2"/>
      <c r="B371" s="3"/>
      <c r="C371" s="3"/>
      <c r="D371" s="3"/>
      <c r="E371" s="3"/>
      <c r="F371" s="15"/>
      <c r="G371" s="15"/>
      <c r="H371" s="17"/>
      <c r="I371" s="3"/>
    </row>
    <row r="372" spans="1:9" x14ac:dyDescent="0.3">
      <c r="A372" s="2"/>
      <c r="B372" s="3"/>
      <c r="C372" s="3"/>
      <c r="D372" s="3"/>
      <c r="E372" s="3"/>
      <c r="F372" s="15"/>
      <c r="G372" s="15"/>
      <c r="H372" s="17"/>
      <c r="I372" s="3"/>
    </row>
    <row r="373" spans="1:9" x14ac:dyDescent="0.3">
      <c r="A373" s="2"/>
      <c r="B373" s="3"/>
      <c r="C373" s="3"/>
      <c r="D373" s="3"/>
      <c r="E373" s="3"/>
      <c r="F373" s="15"/>
      <c r="G373" s="15"/>
      <c r="H373" s="17"/>
      <c r="I373" s="3"/>
    </row>
    <row r="374" spans="1:9" x14ac:dyDescent="0.3">
      <c r="A374" s="2"/>
      <c r="B374" s="3"/>
      <c r="C374" s="3"/>
      <c r="D374" s="3"/>
      <c r="E374" s="3"/>
      <c r="F374" s="15"/>
      <c r="G374" s="15"/>
      <c r="H374" s="17"/>
      <c r="I374" s="3"/>
    </row>
    <row r="375" spans="1:9" x14ac:dyDescent="0.3">
      <c r="A375" s="2"/>
      <c r="B375" s="3"/>
      <c r="C375" s="3"/>
      <c r="D375" s="3"/>
      <c r="E375" s="3"/>
      <c r="F375" s="15"/>
      <c r="G375" s="15"/>
      <c r="H375" s="17"/>
      <c r="I375" s="3"/>
    </row>
    <row r="376" spans="1:9" x14ac:dyDescent="0.3">
      <c r="A376" s="2"/>
      <c r="B376" s="3"/>
      <c r="C376" s="3"/>
      <c r="D376" s="3"/>
      <c r="E376" s="3"/>
      <c r="F376" s="15"/>
      <c r="G376" s="15"/>
      <c r="H376" s="17"/>
      <c r="I376" s="3"/>
    </row>
    <row r="377" spans="1:9" x14ac:dyDescent="0.3">
      <c r="A377" s="2"/>
      <c r="B377" s="3"/>
      <c r="C377" s="3"/>
      <c r="D377" s="3"/>
      <c r="E377" s="3"/>
      <c r="F377" s="15"/>
      <c r="G377" s="15"/>
      <c r="H377" s="17"/>
      <c r="I377" s="3"/>
    </row>
    <row r="378" spans="1:9" x14ac:dyDescent="0.3">
      <c r="A378" s="2"/>
      <c r="B378" s="3"/>
      <c r="C378" s="3"/>
      <c r="D378" s="3"/>
      <c r="E378" s="3"/>
      <c r="F378" s="15"/>
      <c r="G378" s="15"/>
      <c r="H378" s="17"/>
      <c r="I378" s="3"/>
    </row>
    <row r="379" spans="1:9" x14ac:dyDescent="0.3">
      <c r="A379" s="2"/>
      <c r="B379" s="3"/>
      <c r="C379" s="3"/>
      <c r="D379" s="3"/>
      <c r="E379" s="3"/>
      <c r="F379" s="15"/>
      <c r="G379" s="15"/>
      <c r="H379" s="17"/>
      <c r="I379" s="3"/>
    </row>
    <row r="380" spans="1:9" x14ac:dyDescent="0.3">
      <c r="A380" s="2"/>
      <c r="B380" s="3"/>
      <c r="C380" s="3"/>
      <c r="D380" s="3"/>
      <c r="E380" s="3"/>
      <c r="F380" s="15"/>
      <c r="G380" s="15"/>
      <c r="H380" s="17"/>
      <c r="I380" s="3"/>
    </row>
    <row r="381" spans="1:9" x14ac:dyDescent="0.3">
      <c r="A381" s="2"/>
      <c r="B381" s="3"/>
      <c r="C381" s="3"/>
      <c r="D381" s="3"/>
      <c r="E381" s="3"/>
      <c r="F381" s="15"/>
      <c r="G381" s="15"/>
      <c r="H381" s="17"/>
      <c r="I381" s="3"/>
    </row>
    <row r="382" spans="1:9" x14ac:dyDescent="0.3">
      <c r="A382" s="2"/>
      <c r="B382" s="3"/>
      <c r="C382" s="3"/>
      <c r="D382" s="3"/>
      <c r="E382" s="3"/>
      <c r="F382" s="15"/>
      <c r="G382" s="15"/>
      <c r="H382" s="17"/>
      <c r="I382" s="3"/>
    </row>
    <row r="383" spans="1:9" x14ac:dyDescent="0.3">
      <c r="A383" s="2"/>
      <c r="B383" s="3"/>
      <c r="C383" s="3"/>
      <c r="D383" s="3"/>
      <c r="E383" s="3"/>
      <c r="F383" s="15"/>
      <c r="G383" s="15"/>
      <c r="H383" s="17"/>
      <c r="I383" s="3"/>
    </row>
    <row r="384" spans="1:9" x14ac:dyDescent="0.3">
      <c r="A384" s="2"/>
      <c r="B384" s="3"/>
      <c r="C384" s="3"/>
      <c r="D384" s="3"/>
      <c r="E384" s="3"/>
      <c r="F384" s="15"/>
      <c r="G384" s="15"/>
      <c r="H384" s="17"/>
      <c r="I384" s="3"/>
    </row>
    <row r="385" spans="1:9" x14ac:dyDescent="0.3">
      <c r="A385" s="2"/>
      <c r="B385" s="3"/>
      <c r="C385" s="3"/>
      <c r="D385" s="3"/>
      <c r="E385" s="3"/>
      <c r="F385" s="15"/>
      <c r="G385" s="15"/>
      <c r="H385" s="17"/>
      <c r="I385" s="3"/>
    </row>
    <row r="386" spans="1:9" x14ac:dyDescent="0.3">
      <c r="A386" s="2"/>
      <c r="B386" s="3"/>
      <c r="C386" s="3"/>
      <c r="D386" s="3"/>
      <c r="E386" s="3"/>
      <c r="F386" s="15"/>
      <c r="G386" s="15"/>
      <c r="H386" s="17"/>
      <c r="I386" s="3"/>
    </row>
    <row r="387" spans="1:9" x14ac:dyDescent="0.3">
      <c r="A387" s="2"/>
      <c r="B387" s="3"/>
      <c r="C387" s="3"/>
      <c r="D387" s="3"/>
      <c r="E387" s="3"/>
      <c r="F387" s="15"/>
      <c r="G387" s="15"/>
      <c r="H387" s="17"/>
      <c r="I387" s="3"/>
    </row>
    <row r="388" spans="1:9" x14ac:dyDescent="0.3">
      <c r="A388" s="2"/>
      <c r="B388" s="3"/>
      <c r="C388" s="3"/>
      <c r="D388" s="3"/>
      <c r="E388" s="3"/>
      <c r="F388" s="15"/>
      <c r="G388" s="15"/>
      <c r="H388" s="17"/>
      <c r="I388" s="3"/>
    </row>
    <row r="389" spans="1:9" x14ac:dyDescent="0.3">
      <c r="A389" s="2"/>
      <c r="B389" s="3"/>
      <c r="C389" s="3"/>
      <c r="D389" s="3"/>
      <c r="E389" s="3"/>
      <c r="F389" s="15"/>
      <c r="G389" s="15"/>
      <c r="H389" s="17"/>
      <c r="I389" s="3"/>
    </row>
    <row r="390" spans="1:9" x14ac:dyDescent="0.3">
      <c r="A390" s="2"/>
      <c r="B390" s="3"/>
      <c r="C390" s="3"/>
      <c r="D390" s="3"/>
      <c r="E390" s="3"/>
      <c r="F390" s="15"/>
      <c r="G390" s="15"/>
      <c r="H390" s="17"/>
      <c r="I390" s="3"/>
    </row>
    <row r="391" spans="1:9" x14ac:dyDescent="0.3">
      <c r="A391" s="2"/>
      <c r="B391" s="3"/>
      <c r="C391" s="3"/>
      <c r="D391" s="3"/>
      <c r="E391" s="3"/>
      <c r="F391" s="15"/>
      <c r="G391" s="15"/>
      <c r="H391" s="17"/>
      <c r="I391" s="3"/>
    </row>
    <row r="392" spans="1:9" x14ac:dyDescent="0.3">
      <c r="A392" s="2"/>
      <c r="B392" s="3"/>
      <c r="C392" s="3"/>
      <c r="D392" s="3"/>
      <c r="E392" s="3"/>
      <c r="F392" s="15"/>
      <c r="G392" s="15"/>
      <c r="H392" s="17"/>
      <c r="I392" s="3"/>
    </row>
    <row r="393" spans="1:9" x14ac:dyDescent="0.3">
      <c r="A393" s="2"/>
      <c r="B393" s="3"/>
      <c r="C393" s="3"/>
      <c r="D393" s="3"/>
      <c r="E393" s="3"/>
      <c r="F393" s="15"/>
      <c r="G393" s="15"/>
      <c r="H393" s="17"/>
      <c r="I393" s="3"/>
    </row>
    <row r="394" spans="1:9" x14ac:dyDescent="0.3">
      <c r="A394" s="2"/>
      <c r="B394" s="3"/>
      <c r="C394" s="3"/>
      <c r="D394" s="3"/>
      <c r="E394" s="3"/>
      <c r="F394" s="15"/>
      <c r="G394" s="15"/>
      <c r="H394" s="17"/>
      <c r="I394" s="3"/>
    </row>
    <row r="395" spans="1:9" x14ac:dyDescent="0.3">
      <c r="A395" s="2"/>
      <c r="B395" s="3"/>
      <c r="C395" s="3"/>
      <c r="D395" s="3"/>
      <c r="E395" s="3"/>
      <c r="F395" s="15"/>
      <c r="G395" s="15"/>
      <c r="H395" s="17"/>
      <c r="I395" s="3"/>
    </row>
    <row r="396" spans="1:9" x14ac:dyDescent="0.3">
      <c r="A396" s="2"/>
      <c r="B396" s="3"/>
      <c r="C396" s="3"/>
      <c r="D396" s="3"/>
      <c r="E396" s="3"/>
      <c r="F396" s="15"/>
      <c r="G396" s="15"/>
      <c r="H396" s="17"/>
      <c r="I396" s="3"/>
    </row>
    <row r="397" spans="1:9" x14ac:dyDescent="0.3">
      <c r="A397" s="2"/>
      <c r="B397" s="3"/>
      <c r="C397" s="3"/>
      <c r="D397" s="3"/>
      <c r="E397" s="3"/>
      <c r="F397" s="15"/>
      <c r="G397" s="15"/>
      <c r="H397" s="17"/>
      <c r="I397" s="3"/>
    </row>
    <row r="398" spans="1:9" x14ac:dyDescent="0.3">
      <c r="A398" s="2"/>
      <c r="B398" s="3"/>
      <c r="C398" s="3"/>
      <c r="D398" s="3"/>
      <c r="E398" s="3"/>
      <c r="F398" s="15"/>
      <c r="G398" s="15"/>
      <c r="H398" s="17"/>
      <c r="I398" s="3"/>
    </row>
    <row r="399" spans="1:9" x14ac:dyDescent="0.3">
      <c r="A399" s="2"/>
      <c r="B399" s="3"/>
      <c r="C399" s="3"/>
      <c r="D399" s="3"/>
      <c r="E399" s="3"/>
      <c r="F399" s="15"/>
      <c r="G399" s="15"/>
      <c r="H399" s="17"/>
      <c r="I399" s="3"/>
    </row>
    <row r="400" spans="1:9" x14ac:dyDescent="0.3">
      <c r="A400" s="2"/>
      <c r="B400" s="3"/>
      <c r="C400" s="3"/>
      <c r="D400" s="3"/>
      <c r="E400" s="3"/>
      <c r="F400" s="15"/>
      <c r="G400" s="15"/>
      <c r="H400" s="17"/>
      <c r="I400" s="3"/>
    </row>
    <row r="401" spans="1:9" x14ac:dyDescent="0.3">
      <c r="A401" s="2"/>
      <c r="B401" s="3"/>
      <c r="C401" s="3"/>
      <c r="D401" s="3"/>
      <c r="E401" s="3"/>
      <c r="F401" s="15"/>
      <c r="G401" s="15"/>
      <c r="H401" s="17"/>
      <c r="I401" s="3"/>
    </row>
    <row r="402" spans="1:9" x14ac:dyDescent="0.3">
      <c r="A402" s="2"/>
      <c r="B402" s="3"/>
      <c r="C402" s="3"/>
      <c r="D402" s="3"/>
      <c r="E402" s="3"/>
      <c r="F402" s="15"/>
      <c r="G402" s="15"/>
      <c r="H402" s="17"/>
      <c r="I402" s="3"/>
    </row>
    <row r="403" spans="1:9" x14ac:dyDescent="0.3">
      <c r="A403" s="2"/>
      <c r="B403" s="3"/>
      <c r="C403" s="3"/>
      <c r="D403" s="3"/>
      <c r="E403" s="3"/>
      <c r="F403" s="15"/>
      <c r="G403" s="15"/>
      <c r="H403" s="17"/>
      <c r="I403" s="3"/>
    </row>
    <row r="404" spans="1:9" x14ac:dyDescent="0.3">
      <c r="A404" s="2"/>
      <c r="B404" s="3"/>
      <c r="C404" s="3"/>
      <c r="D404" s="3"/>
      <c r="E404" s="3"/>
      <c r="F404" s="15"/>
      <c r="G404" s="15"/>
      <c r="H404" s="17"/>
      <c r="I404" s="3"/>
    </row>
    <row r="405" spans="1:9" x14ac:dyDescent="0.3">
      <c r="A405" s="2"/>
      <c r="B405" s="3"/>
      <c r="C405" s="3"/>
      <c r="D405" s="3"/>
      <c r="E405" s="3"/>
      <c r="F405" s="15"/>
      <c r="G405" s="15"/>
      <c r="H405" s="17"/>
      <c r="I405" s="3"/>
    </row>
    <row r="406" spans="1:9" x14ac:dyDescent="0.3">
      <c r="A406" s="2"/>
      <c r="B406" s="3"/>
      <c r="C406" s="3"/>
      <c r="D406" s="3"/>
      <c r="E406" s="3"/>
      <c r="F406" s="15"/>
      <c r="G406" s="15"/>
      <c r="H406" s="17"/>
      <c r="I406" s="3"/>
    </row>
    <row r="407" spans="1:9" x14ac:dyDescent="0.3">
      <c r="A407" s="2"/>
      <c r="B407" s="3"/>
      <c r="C407" s="3"/>
      <c r="D407" s="3"/>
      <c r="E407" s="3"/>
      <c r="F407" s="15"/>
      <c r="G407" s="15"/>
      <c r="H407" s="17"/>
      <c r="I407" s="3"/>
    </row>
    <row r="408" spans="1:9" x14ac:dyDescent="0.3">
      <c r="A408" s="2"/>
      <c r="B408" s="3"/>
      <c r="C408" s="3"/>
      <c r="D408" s="3"/>
      <c r="E408" s="3"/>
      <c r="F408" s="15"/>
      <c r="G408" s="15"/>
      <c r="H408" s="17"/>
      <c r="I408" s="3"/>
    </row>
    <row r="409" spans="1:9" x14ac:dyDescent="0.3">
      <c r="A409" s="2"/>
      <c r="B409" s="3"/>
      <c r="C409" s="3"/>
      <c r="D409" s="3"/>
      <c r="E409" s="3"/>
      <c r="F409" s="15"/>
      <c r="G409" s="15"/>
      <c r="H409" s="17"/>
      <c r="I409" s="3"/>
    </row>
    <row r="410" spans="1:9" x14ac:dyDescent="0.3">
      <c r="A410" s="2"/>
      <c r="B410" s="3"/>
      <c r="C410" s="3"/>
      <c r="D410" s="3"/>
      <c r="E410" s="3"/>
      <c r="F410" s="15"/>
      <c r="G410" s="15"/>
      <c r="H410" s="17"/>
      <c r="I410" s="3"/>
    </row>
    <row r="411" spans="1:9" x14ac:dyDescent="0.3">
      <c r="A411" s="2"/>
      <c r="B411" s="3"/>
      <c r="C411" s="3"/>
      <c r="D411" s="3"/>
      <c r="E411" s="3"/>
      <c r="F411" s="15"/>
      <c r="G411" s="15"/>
      <c r="H411" s="17"/>
      <c r="I411" s="3"/>
    </row>
    <row r="412" spans="1:9" x14ac:dyDescent="0.3">
      <c r="A412" s="2"/>
      <c r="B412" s="3"/>
      <c r="C412" s="3"/>
      <c r="D412" s="3"/>
      <c r="E412" s="3"/>
      <c r="F412" s="15"/>
      <c r="G412" s="15"/>
      <c r="H412" s="17"/>
      <c r="I412" s="3"/>
    </row>
    <row r="413" spans="1:9" x14ac:dyDescent="0.3">
      <c r="A413" s="2"/>
      <c r="B413" s="3"/>
      <c r="C413" s="3"/>
      <c r="D413" s="3"/>
      <c r="E413" s="3"/>
      <c r="F413" s="15"/>
      <c r="G413" s="15"/>
      <c r="H413" s="17"/>
      <c r="I413" s="3"/>
    </row>
    <row r="414" spans="1:9" x14ac:dyDescent="0.3">
      <c r="A414" s="2"/>
      <c r="B414" s="3"/>
      <c r="C414" s="3"/>
      <c r="D414" s="3"/>
      <c r="E414" s="3"/>
      <c r="F414" s="15"/>
      <c r="G414" s="15"/>
      <c r="H414" s="17"/>
      <c r="I414" s="3"/>
    </row>
    <row r="415" spans="1:9" x14ac:dyDescent="0.3">
      <c r="A415" s="2"/>
      <c r="B415" s="3"/>
      <c r="C415" s="3"/>
      <c r="D415" s="3"/>
      <c r="E415" s="3"/>
      <c r="F415" s="15"/>
      <c r="G415" s="15"/>
      <c r="H415" s="17"/>
      <c r="I415" s="3"/>
    </row>
    <row r="416" spans="1:9" x14ac:dyDescent="0.3">
      <c r="A416" s="2"/>
      <c r="B416" s="3"/>
      <c r="C416" s="3"/>
      <c r="D416" s="3"/>
      <c r="E416" s="3"/>
      <c r="F416" s="15"/>
      <c r="G416" s="15"/>
      <c r="H416" s="17"/>
      <c r="I416" s="3"/>
    </row>
    <row r="417" spans="1:9" x14ac:dyDescent="0.3">
      <c r="A417" s="2"/>
      <c r="B417" s="3"/>
      <c r="C417" s="3"/>
      <c r="D417" s="3"/>
      <c r="E417" s="3"/>
      <c r="F417" s="15"/>
      <c r="G417" s="15"/>
      <c r="H417" s="17"/>
      <c r="I417" s="3"/>
    </row>
    <row r="418" spans="1:9" x14ac:dyDescent="0.3">
      <c r="A418" s="2"/>
      <c r="B418" s="3"/>
      <c r="C418" s="3"/>
      <c r="D418" s="3"/>
      <c r="E418" s="3"/>
      <c r="F418" s="15"/>
      <c r="G418" s="15"/>
      <c r="H418" s="17"/>
      <c r="I418" s="3"/>
    </row>
    <row r="419" spans="1:9" x14ac:dyDescent="0.3">
      <c r="A419" s="2"/>
      <c r="B419" s="3"/>
      <c r="C419" s="3"/>
      <c r="D419" s="3"/>
      <c r="E419" s="3"/>
      <c r="F419" s="15"/>
      <c r="G419" s="15"/>
      <c r="H419" s="17"/>
      <c r="I419" s="3"/>
    </row>
    <row r="420" spans="1:9" x14ac:dyDescent="0.3">
      <c r="A420" s="2"/>
      <c r="B420" s="3"/>
      <c r="C420" s="3"/>
      <c r="D420" s="3"/>
      <c r="E420" s="3"/>
      <c r="F420" s="15"/>
      <c r="G420" s="15"/>
      <c r="H420" s="17"/>
      <c r="I420" s="3"/>
    </row>
    <row r="421" spans="1:9" x14ac:dyDescent="0.3">
      <c r="A421" s="2"/>
      <c r="B421" s="3"/>
      <c r="C421" s="3"/>
      <c r="D421" s="3"/>
      <c r="E421" s="3"/>
      <c r="F421" s="15"/>
      <c r="G421" s="15"/>
      <c r="H421" s="17"/>
      <c r="I421" s="3"/>
    </row>
    <row r="422" spans="1:9" x14ac:dyDescent="0.3">
      <c r="A422" s="2"/>
      <c r="B422" s="3"/>
      <c r="C422" s="3"/>
      <c r="D422" s="3"/>
      <c r="E422" s="3"/>
      <c r="F422" s="15"/>
      <c r="G422" s="15"/>
      <c r="H422" s="17"/>
      <c r="I422" s="3"/>
    </row>
    <row r="423" spans="1:9" x14ac:dyDescent="0.3">
      <c r="A423" s="2"/>
      <c r="B423" s="3"/>
      <c r="C423" s="3"/>
      <c r="D423" s="3"/>
      <c r="E423" s="3"/>
      <c r="F423" s="15"/>
      <c r="G423" s="15"/>
      <c r="H423" s="17"/>
      <c r="I423" s="3"/>
    </row>
    <row r="424" spans="1:9" x14ac:dyDescent="0.3">
      <c r="A424" s="2"/>
      <c r="B424" s="3"/>
      <c r="C424" s="3"/>
      <c r="D424" s="3"/>
      <c r="E424" s="3"/>
      <c r="F424" s="15"/>
      <c r="G424" s="15"/>
      <c r="H424" s="17"/>
      <c r="I424" s="3"/>
    </row>
    <row r="425" spans="1:9" x14ac:dyDescent="0.3">
      <c r="A425" s="2"/>
      <c r="B425" s="3"/>
      <c r="C425" s="3"/>
      <c r="D425" s="3"/>
      <c r="E425" s="3"/>
      <c r="F425" s="15"/>
      <c r="G425" s="15"/>
      <c r="H425" s="17"/>
      <c r="I425" s="3"/>
    </row>
    <row r="426" spans="1:9" x14ac:dyDescent="0.3">
      <c r="A426" s="2"/>
      <c r="B426" s="3"/>
      <c r="C426" s="3"/>
      <c r="D426" s="3"/>
      <c r="E426" s="3"/>
      <c r="F426" s="15"/>
      <c r="G426" s="15"/>
      <c r="H426" s="17"/>
      <c r="I426" s="3"/>
    </row>
    <row r="427" spans="1:9" x14ac:dyDescent="0.3">
      <c r="A427" s="2"/>
      <c r="B427" s="3"/>
      <c r="C427" s="3"/>
      <c r="D427" s="3"/>
      <c r="E427" s="3"/>
      <c r="F427" s="15"/>
      <c r="G427" s="15"/>
      <c r="H427" s="17"/>
      <c r="I427" s="3"/>
    </row>
    <row r="428" spans="1:9" x14ac:dyDescent="0.3">
      <c r="A428" s="2"/>
      <c r="B428" s="3"/>
      <c r="C428" s="3"/>
      <c r="D428" s="3"/>
      <c r="E428" s="3"/>
      <c r="F428" s="15"/>
      <c r="G428" s="15"/>
      <c r="H428" s="17"/>
      <c r="I428" s="3"/>
    </row>
    <row r="429" spans="1:9" x14ac:dyDescent="0.3">
      <c r="A429" s="2"/>
      <c r="B429" s="3"/>
      <c r="C429" s="3"/>
      <c r="D429" s="3"/>
      <c r="E429" s="3"/>
      <c r="F429" s="15"/>
      <c r="G429" s="15"/>
      <c r="H429" s="17"/>
      <c r="I429" s="3"/>
    </row>
    <row r="430" spans="1:9" x14ac:dyDescent="0.3">
      <c r="A430" s="2"/>
      <c r="B430" s="3"/>
      <c r="C430" s="3"/>
      <c r="D430" s="3"/>
      <c r="E430" s="3"/>
      <c r="F430" s="15"/>
      <c r="G430" s="15"/>
      <c r="H430" s="17"/>
      <c r="I430" s="3"/>
    </row>
    <row r="431" spans="1:9" x14ac:dyDescent="0.3">
      <c r="A431" s="2"/>
      <c r="B431" s="3"/>
      <c r="C431" s="3"/>
      <c r="D431" s="3"/>
      <c r="E431" s="3"/>
      <c r="F431" s="15"/>
      <c r="G431" s="15"/>
      <c r="H431" s="17"/>
      <c r="I431" s="3"/>
    </row>
    <row r="432" spans="1:9" x14ac:dyDescent="0.3">
      <c r="A432" s="2"/>
      <c r="B432" s="3"/>
      <c r="C432" s="3"/>
      <c r="D432" s="3"/>
      <c r="E432" s="3"/>
      <c r="F432" s="15"/>
      <c r="G432" s="15"/>
      <c r="H432" s="17"/>
      <c r="I432" s="3"/>
    </row>
    <row r="433" spans="1:9" x14ac:dyDescent="0.3">
      <c r="A433" s="2"/>
      <c r="B433" s="3"/>
      <c r="C433" s="3"/>
      <c r="D433" s="3"/>
      <c r="E433" s="3"/>
      <c r="F433" s="15"/>
      <c r="G433" s="15"/>
      <c r="H433" s="17"/>
      <c r="I433" s="3"/>
    </row>
    <row r="434" spans="1:9" x14ac:dyDescent="0.3">
      <c r="A434" s="2"/>
      <c r="B434" s="3"/>
      <c r="C434" s="3"/>
      <c r="D434" s="3"/>
      <c r="E434" s="3"/>
      <c r="F434" s="15"/>
      <c r="G434" s="15"/>
      <c r="H434" s="17"/>
      <c r="I434" s="3"/>
    </row>
    <row r="435" spans="1:9" x14ac:dyDescent="0.3">
      <c r="A435" s="2"/>
      <c r="B435" s="3"/>
      <c r="C435" s="3"/>
      <c r="D435" s="3"/>
      <c r="E435" s="3"/>
      <c r="F435" s="15"/>
      <c r="G435" s="15"/>
      <c r="H435" s="17"/>
      <c r="I435" s="3"/>
    </row>
    <row r="436" spans="1:9" x14ac:dyDescent="0.3">
      <c r="A436" s="2"/>
      <c r="B436" s="3"/>
      <c r="C436" s="3"/>
      <c r="D436" s="3"/>
      <c r="E436" s="3"/>
      <c r="F436" s="15"/>
      <c r="G436" s="15"/>
      <c r="H436" s="17"/>
      <c r="I436" s="3"/>
    </row>
    <row r="437" spans="1:9" x14ac:dyDescent="0.3">
      <c r="A437" s="2"/>
      <c r="B437" s="3"/>
      <c r="C437" s="3"/>
      <c r="D437" s="3"/>
      <c r="E437" s="3"/>
      <c r="F437" s="15"/>
      <c r="G437" s="15"/>
      <c r="H437" s="17"/>
      <c r="I437" s="3"/>
    </row>
    <row r="438" spans="1:9" x14ac:dyDescent="0.3">
      <c r="A438" s="2"/>
      <c r="B438" s="3"/>
      <c r="C438" s="3"/>
      <c r="D438" s="3"/>
      <c r="E438" s="3"/>
      <c r="F438" s="15"/>
      <c r="G438" s="15"/>
      <c r="H438" s="17"/>
      <c r="I438" s="3"/>
    </row>
    <row r="439" spans="1:9" x14ac:dyDescent="0.3">
      <c r="A439" s="2"/>
      <c r="B439" s="3"/>
      <c r="C439" s="3"/>
      <c r="D439" s="3"/>
      <c r="E439" s="3"/>
      <c r="F439" s="15"/>
      <c r="G439" s="15"/>
      <c r="H439" s="17"/>
      <c r="I439" s="3"/>
    </row>
    <row r="440" spans="1:9" x14ac:dyDescent="0.3">
      <c r="A440" s="2"/>
      <c r="B440" s="3"/>
      <c r="C440" s="3"/>
      <c r="D440" s="3"/>
      <c r="E440" s="3"/>
      <c r="F440" s="15"/>
      <c r="G440" s="15"/>
      <c r="H440" s="17"/>
      <c r="I440" s="3"/>
    </row>
    <row r="441" spans="1:9" x14ac:dyDescent="0.3">
      <c r="A441" s="2"/>
      <c r="B441" s="3"/>
      <c r="C441" s="3"/>
      <c r="D441" s="3"/>
      <c r="E441" s="3"/>
      <c r="F441" s="15"/>
      <c r="G441" s="15"/>
      <c r="H441" s="17"/>
      <c r="I441" s="3"/>
    </row>
    <row r="442" spans="1:9" x14ac:dyDescent="0.3">
      <c r="A442" s="2"/>
      <c r="B442" s="3"/>
      <c r="C442" s="3"/>
      <c r="D442" s="3"/>
      <c r="E442" s="3"/>
      <c r="F442" s="15"/>
      <c r="G442" s="15"/>
      <c r="H442" s="17"/>
      <c r="I442" s="3"/>
    </row>
    <row r="443" spans="1:9" x14ac:dyDescent="0.3">
      <c r="A443" s="2"/>
      <c r="B443" s="3"/>
      <c r="C443" s="3"/>
      <c r="D443" s="3"/>
      <c r="E443" s="3"/>
      <c r="F443" s="15"/>
      <c r="G443" s="15"/>
      <c r="H443" s="17"/>
      <c r="I443" s="3"/>
    </row>
    <row r="444" spans="1:9" x14ac:dyDescent="0.3">
      <c r="A444" s="2"/>
      <c r="B444" s="3"/>
      <c r="C444" s="3"/>
      <c r="D444" s="3"/>
      <c r="E444" s="3"/>
      <c r="F444" s="15"/>
      <c r="G444" s="15"/>
      <c r="H444" s="17"/>
      <c r="I444" s="3"/>
    </row>
    <row r="445" spans="1:9" x14ac:dyDescent="0.3">
      <c r="A445" s="2"/>
      <c r="B445" s="3"/>
      <c r="C445" s="3"/>
      <c r="D445" s="3"/>
      <c r="E445" s="3"/>
      <c r="F445" s="15"/>
      <c r="G445" s="15"/>
      <c r="H445" s="17"/>
      <c r="I445" s="3"/>
    </row>
    <row r="446" spans="1:9" x14ac:dyDescent="0.3">
      <c r="A446" s="2"/>
      <c r="B446" s="3"/>
      <c r="C446" s="3"/>
      <c r="D446" s="3"/>
      <c r="E446" s="3"/>
      <c r="F446" s="15"/>
      <c r="G446" s="15"/>
      <c r="H446" s="17"/>
      <c r="I446" s="3"/>
    </row>
    <row r="447" spans="1:9" x14ac:dyDescent="0.3">
      <c r="A447" s="2"/>
      <c r="B447" s="3"/>
      <c r="C447" s="3"/>
      <c r="D447" s="3"/>
      <c r="E447" s="3"/>
      <c r="F447" s="15"/>
      <c r="G447" s="15"/>
      <c r="H447" s="17"/>
      <c r="I447" s="3"/>
    </row>
    <row r="448" spans="1:9" x14ac:dyDescent="0.3">
      <c r="A448" s="2"/>
      <c r="B448" s="3"/>
      <c r="C448" s="3"/>
      <c r="D448" s="3"/>
      <c r="E448" s="3"/>
      <c r="F448" s="15"/>
      <c r="G448" s="15"/>
      <c r="H448" s="17"/>
      <c r="I448" s="3"/>
    </row>
    <row r="449" spans="1:9" x14ac:dyDescent="0.3">
      <c r="A449" s="2"/>
      <c r="B449" s="3"/>
      <c r="C449" s="3"/>
      <c r="D449" s="3"/>
      <c r="E449" s="3"/>
      <c r="F449" s="15"/>
      <c r="G449" s="15"/>
      <c r="H449" s="17"/>
      <c r="I449" s="3"/>
    </row>
    <row r="450" spans="1:9" x14ac:dyDescent="0.3">
      <c r="A450" s="2"/>
      <c r="B450" s="3"/>
      <c r="C450" s="3"/>
      <c r="D450" s="3"/>
      <c r="E450" s="3"/>
      <c r="F450" s="15"/>
      <c r="G450" s="15"/>
      <c r="H450" s="17"/>
      <c r="I450" s="3"/>
    </row>
    <row r="451" spans="1:9" x14ac:dyDescent="0.3">
      <c r="A451" s="2"/>
      <c r="B451" s="3"/>
      <c r="C451" s="3"/>
      <c r="D451" s="3"/>
      <c r="E451" s="3"/>
      <c r="F451" s="15"/>
      <c r="G451" s="15"/>
      <c r="H451" s="17"/>
      <c r="I451" s="3"/>
    </row>
    <row r="452" spans="1:9" x14ac:dyDescent="0.3">
      <c r="A452" s="2"/>
      <c r="B452" s="3"/>
      <c r="C452" s="3"/>
      <c r="D452" s="3"/>
      <c r="E452" s="3"/>
      <c r="F452" s="15"/>
      <c r="G452" s="15"/>
      <c r="H452" s="17"/>
      <c r="I452" s="3"/>
    </row>
    <row r="453" spans="1:9" x14ac:dyDescent="0.3">
      <c r="A453" s="2"/>
      <c r="B453" s="3"/>
      <c r="C453" s="3"/>
      <c r="D453" s="3"/>
      <c r="E453" s="3"/>
      <c r="F453" s="15"/>
      <c r="G453" s="15"/>
      <c r="H453" s="17"/>
      <c r="I453" s="3"/>
    </row>
    <row r="454" spans="1:9" x14ac:dyDescent="0.3">
      <c r="A454" s="2"/>
      <c r="B454" s="3"/>
      <c r="C454" s="3"/>
      <c r="D454" s="3"/>
      <c r="E454" s="3"/>
      <c r="F454" s="15"/>
      <c r="G454" s="15"/>
      <c r="H454" s="17"/>
      <c r="I454" s="3"/>
    </row>
    <row r="455" spans="1:9" x14ac:dyDescent="0.3">
      <c r="A455" s="2"/>
      <c r="B455" s="3"/>
      <c r="C455" s="3"/>
      <c r="D455" s="3"/>
      <c r="E455" s="3"/>
      <c r="F455" s="15"/>
      <c r="G455" s="15"/>
      <c r="H455" s="17"/>
      <c r="I455" s="3"/>
    </row>
    <row r="456" spans="1:9" x14ac:dyDescent="0.3">
      <c r="A456" s="2"/>
      <c r="B456" s="3"/>
      <c r="C456" s="3"/>
      <c r="D456" s="3"/>
      <c r="E456" s="3"/>
      <c r="F456" s="15"/>
      <c r="G456" s="15"/>
      <c r="H456" s="17"/>
      <c r="I456" s="3"/>
    </row>
    <row r="457" spans="1:9" x14ac:dyDescent="0.3">
      <c r="A457" s="2"/>
      <c r="B457" s="3"/>
      <c r="C457" s="3"/>
      <c r="D457" s="3"/>
      <c r="E457" s="3"/>
      <c r="F457" s="15"/>
      <c r="G457" s="15"/>
      <c r="H457" s="17"/>
      <c r="I457" s="3"/>
    </row>
    <row r="458" spans="1:9" x14ac:dyDescent="0.3">
      <c r="A458" s="2"/>
      <c r="B458" s="3"/>
      <c r="C458" s="3"/>
      <c r="D458" s="3"/>
      <c r="E458" s="3"/>
      <c r="F458" s="15"/>
      <c r="G458" s="15"/>
      <c r="H458" s="17"/>
      <c r="I458" s="3"/>
    </row>
    <row r="459" spans="1:9" x14ac:dyDescent="0.3">
      <c r="A459" s="2"/>
      <c r="B459" s="3"/>
      <c r="C459" s="3"/>
      <c r="D459" s="3"/>
      <c r="E459" s="3"/>
      <c r="F459" s="15"/>
      <c r="G459" s="15"/>
      <c r="H459" s="17"/>
      <c r="I459" s="3"/>
    </row>
    <row r="460" spans="1:9" x14ac:dyDescent="0.3">
      <c r="A460" s="2"/>
      <c r="B460" s="3"/>
      <c r="C460" s="3"/>
      <c r="D460" s="3"/>
      <c r="E460" s="3"/>
      <c r="F460" s="15"/>
      <c r="G460" s="15"/>
      <c r="H460" s="17"/>
      <c r="I460" s="3"/>
    </row>
    <row r="461" spans="1:9" x14ac:dyDescent="0.3">
      <c r="A461" s="2"/>
      <c r="B461" s="3"/>
      <c r="C461" s="3"/>
      <c r="D461" s="3"/>
      <c r="E461" s="3"/>
      <c r="F461" s="15"/>
      <c r="G461" s="15"/>
      <c r="H461" s="17"/>
      <c r="I461" s="3"/>
    </row>
    <row r="462" spans="1:9" x14ac:dyDescent="0.3">
      <c r="A462" s="2"/>
      <c r="B462" s="3"/>
      <c r="C462" s="3"/>
      <c r="D462" s="3"/>
      <c r="E462" s="3"/>
      <c r="F462" s="15"/>
      <c r="G462" s="15"/>
      <c r="H462" s="17"/>
      <c r="I462" s="3"/>
    </row>
    <row r="463" spans="1:9" x14ac:dyDescent="0.3">
      <c r="A463" s="2"/>
      <c r="B463" s="3"/>
      <c r="C463" s="3"/>
      <c r="D463" s="3"/>
      <c r="E463" s="3"/>
      <c r="F463" s="15"/>
      <c r="G463" s="15"/>
      <c r="H463" s="17"/>
      <c r="I463" s="3"/>
    </row>
    <row r="464" spans="1:9" x14ac:dyDescent="0.3">
      <c r="A464" s="2"/>
      <c r="B464" s="3"/>
      <c r="C464" s="3"/>
      <c r="D464" s="3"/>
      <c r="E464" s="3"/>
      <c r="F464" s="15"/>
      <c r="G464" s="15"/>
      <c r="H464" s="17"/>
      <c r="I464" s="3"/>
    </row>
    <row r="465" spans="1:9" x14ac:dyDescent="0.3">
      <c r="A465" s="2"/>
      <c r="B465" s="3"/>
      <c r="C465" s="3"/>
      <c r="D465" s="3"/>
      <c r="E465" s="3"/>
      <c r="F465" s="15"/>
      <c r="G465" s="15"/>
      <c r="H465" s="17"/>
      <c r="I465" s="3"/>
    </row>
    <row r="466" spans="1:9" x14ac:dyDescent="0.3">
      <c r="A466" s="2"/>
      <c r="B466" s="3"/>
      <c r="C466" s="3"/>
      <c r="D466" s="3"/>
      <c r="E466" s="3"/>
      <c r="F466" s="15"/>
      <c r="G466" s="15"/>
      <c r="H466" s="17"/>
      <c r="I466" s="3"/>
    </row>
    <row r="467" spans="1:9" x14ac:dyDescent="0.3">
      <c r="A467" s="2"/>
      <c r="B467" s="3"/>
      <c r="C467" s="3"/>
      <c r="D467" s="3"/>
      <c r="E467" s="3"/>
      <c r="F467" s="15"/>
      <c r="G467" s="15"/>
      <c r="H467" s="17"/>
      <c r="I467" s="3"/>
    </row>
    <row r="468" spans="1:9" x14ac:dyDescent="0.3">
      <c r="A468" s="2"/>
      <c r="B468" s="3"/>
      <c r="C468" s="3"/>
      <c r="D468" s="3"/>
      <c r="E468" s="3"/>
      <c r="F468" s="15"/>
      <c r="G468" s="15"/>
      <c r="H468" s="17"/>
      <c r="I468" s="3"/>
    </row>
    <row r="469" spans="1:9" x14ac:dyDescent="0.3">
      <c r="A469" s="2"/>
      <c r="B469" s="3"/>
      <c r="C469" s="3"/>
      <c r="D469" s="3"/>
      <c r="E469" s="3"/>
      <c r="F469" s="15"/>
      <c r="G469" s="15"/>
      <c r="H469" s="17"/>
      <c r="I469" s="3"/>
    </row>
    <row r="470" spans="1:9" x14ac:dyDescent="0.3">
      <c r="A470" s="2"/>
      <c r="B470" s="3"/>
      <c r="C470" s="3"/>
      <c r="D470" s="3"/>
      <c r="E470" s="3"/>
      <c r="F470" s="15"/>
      <c r="G470" s="15"/>
      <c r="H470" s="17"/>
      <c r="I470" s="3"/>
    </row>
    <row r="471" spans="1:9" x14ac:dyDescent="0.3">
      <c r="A471" s="2"/>
      <c r="B471" s="3"/>
      <c r="C471" s="3"/>
      <c r="D471" s="3"/>
      <c r="E471" s="3"/>
      <c r="F471" s="15"/>
      <c r="G471" s="15"/>
      <c r="H471" s="17"/>
      <c r="I471" s="3"/>
    </row>
    <row r="472" spans="1:9" x14ac:dyDescent="0.3">
      <c r="A472" s="2"/>
      <c r="B472" s="3"/>
      <c r="C472" s="3"/>
      <c r="D472" s="3"/>
      <c r="E472" s="3"/>
      <c r="F472" s="15"/>
      <c r="G472" s="15"/>
      <c r="H472" s="17"/>
      <c r="I472" s="3"/>
    </row>
    <row r="473" spans="1:9" x14ac:dyDescent="0.3">
      <c r="A473" s="2"/>
      <c r="B473" s="3"/>
      <c r="C473" s="3"/>
      <c r="D473" s="3"/>
      <c r="E473" s="3"/>
      <c r="F473" s="15"/>
      <c r="G473" s="15"/>
      <c r="H473" s="17"/>
      <c r="I473" s="3"/>
    </row>
    <row r="474" spans="1:9" x14ac:dyDescent="0.3">
      <c r="A474" s="2"/>
      <c r="B474" s="3"/>
      <c r="C474" s="3"/>
      <c r="D474" s="3"/>
      <c r="E474" s="3"/>
      <c r="F474" s="15"/>
      <c r="G474" s="15"/>
      <c r="H474" s="17"/>
      <c r="I474" s="3"/>
    </row>
    <row r="475" spans="1:9" x14ac:dyDescent="0.3">
      <c r="A475" s="2"/>
      <c r="B475" s="3"/>
      <c r="C475" s="3"/>
      <c r="D475" s="3"/>
      <c r="E475" s="3"/>
      <c r="F475" s="15"/>
      <c r="G475" s="15"/>
      <c r="H475" s="17"/>
      <c r="I475" s="3"/>
    </row>
    <row r="476" spans="1:9" x14ac:dyDescent="0.3">
      <c r="A476" s="2"/>
      <c r="B476" s="3"/>
      <c r="C476" s="3"/>
      <c r="D476" s="3"/>
      <c r="E476" s="3"/>
      <c r="F476" s="15"/>
      <c r="G476" s="15"/>
      <c r="H476" s="17"/>
      <c r="I476" s="3"/>
    </row>
    <row r="477" spans="1:9" x14ac:dyDescent="0.3">
      <c r="A477" s="2"/>
      <c r="B477" s="3"/>
      <c r="C477" s="3"/>
      <c r="D477" s="3"/>
      <c r="E477" s="3"/>
      <c r="F477" s="15"/>
      <c r="G477" s="15"/>
      <c r="H477" s="17"/>
      <c r="I477" s="3"/>
    </row>
    <row r="478" spans="1:9" x14ac:dyDescent="0.3">
      <c r="A478" s="2"/>
      <c r="B478" s="3"/>
      <c r="C478" s="3"/>
      <c r="D478" s="3"/>
      <c r="E478" s="3"/>
      <c r="F478" s="15"/>
      <c r="G478" s="15"/>
      <c r="H478" s="17"/>
      <c r="I478" s="3"/>
    </row>
    <row r="479" spans="1:9" x14ac:dyDescent="0.3">
      <c r="A479" s="2"/>
      <c r="B479" s="3"/>
      <c r="C479" s="3"/>
      <c r="D479" s="3"/>
      <c r="E479" s="3"/>
      <c r="F479" s="15"/>
      <c r="G479" s="15"/>
      <c r="H479" s="17"/>
      <c r="I479" s="3"/>
    </row>
    <row r="480" spans="1:9" x14ac:dyDescent="0.3">
      <c r="A480" s="2"/>
      <c r="B480" s="3"/>
      <c r="C480" s="3"/>
      <c r="D480" s="3"/>
      <c r="E480" s="3"/>
      <c r="F480" s="15"/>
      <c r="G480" s="15"/>
      <c r="H480" s="17"/>
      <c r="I480" s="3"/>
    </row>
    <row r="481" spans="1:9" x14ac:dyDescent="0.3">
      <c r="A481" s="2"/>
      <c r="B481" s="3"/>
      <c r="C481" s="3"/>
      <c r="D481" s="3"/>
      <c r="E481" s="3"/>
      <c r="F481" s="15"/>
      <c r="G481" s="15"/>
      <c r="H481" s="17"/>
      <c r="I481" s="3"/>
    </row>
    <row r="482" spans="1:9" x14ac:dyDescent="0.3">
      <c r="A482" s="2"/>
      <c r="B482" s="3"/>
      <c r="C482" s="3"/>
      <c r="D482" s="3"/>
      <c r="E482" s="3"/>
      <c r="F482" s="15"/>
      <c r="G482" s="15"/>
      <c r="H482" s="17"/>
      <c r="I482" s="3"/>
    </row>
    <row r="483" spans="1:9" x14ac:dyDescent="0.3">
      <c r="A483" s="2"/>
      <c r="B483" s="3"/>
      <c r="C483" s="3"/>
      <c r="D483" s="3"/>
      <c r="E483" s="3"/>
      <c r="F483" s="15"/>
      <c r="G483" s="15"/>
      <c r="H483" s="17"/>
      <c r="I483" s="3"/>
    </row>
    <row r="484" spans="1:9" x14ac:dyDescent="0.3">
      <c r="A484" s="2"/>
      <c r="B484" s="3"/>
      <c r="C484" s="3"/>
      <c r="D484" s="3"/>
      <c r="E484" s="3"/>
      <c r="F484" s="15"/>
      <c r="G484" s="15"/>
      <c r="H484" s="17"/>
      <c r="I484" s="3"/>
    </row>
    <row r="485" spans="1:9" x14ac:dyDescent="0.3">
      <c r="A485" s="2"/>
      <c r="B485" s="3"/>
      <c r="C485" s="3"/>
      <c r="D485" s="3"/>
      <c r="E485" s="3"/>
      <c r="F485" s="15"/>
      <c r="G485" s="15"/>
      <c r="H485" s="17"/>
      <c r="I485" s="3"/>
    </row>
    <row r="486" spans="1:9" x14ac:dyDescent="0.3">
      <c r="A486" s="2"/>
      <c r="B486" s="3"/>
      <c r="C486" s="3"/>
      <c r="D486" s="3"/>
      <c r="E486" s="3"/>
      <c r="F486" s="15"/>
      <c r="G486" s="15"/>
      <c r="H486" s="17"/>
      <c r="I486" s="3"/>
    </row>
    <row r="487" spans="1:9" x14ac:dyDescent="0.3">
      <c r="A487" s="2"/>
      <c r="B487" s="3"/>
      <c r="C487" s="3"/>
      <c r="D487" s="3"/>
      <c r="E487" s="3"/>
      <c r="F487" s="15"/>
      <c r="G487" s="15"/>
      <c r="H487" s="17"/>
      <c r="I487" s="3"/>
    </row>
    <row r="488" spans="1:9" x14ac:dyDescent="0.3">
      <c r="A488" s="2"/>
      <c r="B488" s="3"/>
      <c r="C488" s="3"/>
      <c r="D488" s="3"/>
      <c r="E488" s="3"/>
      <c r="F488" s="15"/>
      <c r="G488" s="15"/>
      <c r="H488" s="17"/>
      <c r="I488" s="3"/>
    </row>
    <row r="489" spans="1:9" x14ac:dyDescent="0.3">
      <c r="A489" s="2"/>
      <c r="B489" s="3"/>
      <c r="C489" s="3"/>
      <c r="D489" s="3"/>
      <c r="E489" s="3"/>
      <c r="F489" s="15"/>
      <c r="G489" s="15"/>
      <c r="H489" s="17"/>
      <c r="I489" s="3"/>
    </row>
    <row r="490" spans="1:9" x14ac:dyDescent="0.3">
      <c r="A490" s="2"/>
      <c r="B490" s="3"/>
      <c r="C490" s="3"/>
      <c r="D490" s="3"/>
      <c r="E490" s="3"/>
      <c r="F490" s="15"/>
      <c r="G490" s="15"/>
      <c r="H490" s="17"/>
      <c r="I490" s="3"/>
    </row>
    <row r="491" spans="1:9" x14ac:dyDescent="0.3">
      <c r="A491" s="2"/>
      <c r="B491" s="3"/>
      <c r="C491" s="3"/>
      <c r="D491" s="3"/>
      <c r="E491" s="3"/>
      <c r="F491" s="15"/>
      <c r="G491" s="15"/>
      <c r="H491" s="17"/>
      <c r="I491" s="3"/>
    </row>
    <row r="492" spans="1:9" x14ac:dyDescent="0.3">
      <c r="A492" s="2"/>
      <c r="B492" s="3"/>
      <c r="C492" s="3"/>
      <c r="D492" s="3"/>
      <c r="E492" s="3"/>
      <c r="F492" s="15"/>
      <c r="G492" s="15"/>
      <c r="H492" s="17"/>
      <c r="I492" s="3"/>
    </row>
    <row r="493" spans="1:9" x14ac:dyDescent="0.3">
      <c r="A493" s="2"/>
      <c r="B493" s="3"/>
      <c r="C493" s="3"/>
      <c r="D493" s="3"/>
      <c r="E493" s="3"/>
      <c r="F493" s="15"/>
      <c r="G493" s="15"/>
      <c r="H493" s="17"/>
      <c r="I493" s="3"/>
    </row>
    <row r="494" spans="1:9" x14ac:dyDescent="0.3">
      <c r="A494" s="2"/>
      <c r="B494" s="3"/>
      <c r="C494" s="3"/>
      <c r="D494" s="3"/>
      <c r="E494" s="3"/>
      <c r="F494" s="15"/>
      <c r="G494" s="15"/>
      <c r="H494" s="17"/>
      <c r="I494" s="3"/>
    </row>
    <row r="495" spans="1:9" x14ac:dyDescent="0.3">
      <c r="A495" s="2"/>
      <c r="B495" s="3"/>
      <c r="C495" s="3"/>
      <c r="D495" s="3"/>
      <c r="E495" s="3"/>
      <c r="F495" s="15"/>
      <c r="G495" s="15"/>
      <c r="H495" s="17"/>
      <c r="I495" s="3"/>
    </row>
    <row r="496" spans="1:9" x14ac:dyDescent="0.3">
      <c r="A496" s="2"/>
      <c r="B496" s="3"/>
      <c r="C496" s="3"/>
      <c r="D496" s="3"/>
      <c r="E496" s="3"/>
      <c r="F496" s="15"/>
      <c r="G496" s="15"/>
      <c r="H496" s="17"/>
      <c r="I496" s="3"/>
    </row>
  </sheetData>
  <autoFilter ref="A1:I496" xr:uid="{00000000-0009-0000-0000-000000000000}"/>
  <phoneticPr fontId="8" type="noConversion"/>
  <conditionalFormatting sqref="F2:F496">
    <cfRule type="cellIs" dxfId="3" priority="2" operator="equal">
      <formula>"Pass"</formula>
    </cfRule>
    <cfRule type="cellIs" dxfId="2" priority="3" operator="equal">
      <formula>"Fail"</formula>
    </cfRule>
    <cfRule type="cellIs" dxfId="1" priority="4" operator="equal">
      <formula>"Blocked"</formula>
    </cfRule>
    <cfRule type="cellIs" dxfId="0" priority="5" operator="equal">
      <formula>"Not Run"</formula>
    </cfRule>
  </conditionalFormatting>
  <dataValidations count="1">
    <dataValidation type="list" allowBlank="1" showErrorMessage="1" errorTitle="Invalid status" error="Choose Pass, Fail, Blocked or Not Run." sqref="F2:F496" xr:uid="{00000000-0002-0000-0000-000000000000}">
      <formula1>"Pass,Fail,Blocked,Not Run"</formula1>
      <formula2>0</formula2>
    </dataValidation>
  </dataValidation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C18"/>
  <sheetViews>
    <sheetView showGridLines="0" zoomScaleNormal="100" workbookViewId="0">
      <selection activeCell="F23" sqref="F23"/>
    </sheetView>
  </sheetViews>
  <sheetFormatPr defaultColWidth="8.6640625" defaultRowHeight="14.4" x14ac:dyDescent="0.3"/>
  <cols>
    <col min="1" max="1" width="24" customWidth="1"/>
    <col min="2" max="2" width="12" customWidth="1"/>
    <col min="3" max="3" width="34" customWidth="1"/>
  </cols>
  <sheetData>
    <row r="1" spans="1:3" ht="17.399999999999999" x14ac:dyDescent="0.3">
      <c r="A1" s="4" t="s">
        <v>278</v>
      </c>
    </row>
    <row r="3" spans="1:3" x14ac:dyDescent="0.3">
      <c r="A3" s="5" t="s">
        <v>5</v>
      </c>
      <c r="B3" s="5" t="s">
        <v>279</v>
      </c>
    </row>
    <row r="4" spans="1:3" x14ac:dyDescent="0.3">
      <c r="A4" s="6" t="s">
        <v>280</v>
      </c>
      <c r="B4" s="7">
        <f>COUNTIF(Execution!$F$2:$F$496,A4)</f>
        <v>91</v>
      </c>
    </row>
    <row r="5" spans="1:3" x14ac:dyDescent="0.3">
      <c r="A5" s="6" t="s">
        <v>281</v>
      </c>
      <c r="B5" s="7">
        <f>COUNTIF(Execution!$F$2:$F$496,A5)</f>
        <v>0</v>
      </c>
    </row>
    <row r="6" spans="1:3" x14ac:dyDescent="0.3">
      <c r="A6" s="6" t="s">
        <v>282</v>
      </c>
      <c r="B6" s="7">
        <f>COUNTIF(Execution!$F$2:$F$496,A6)</f>
        <v>0</v>
      </c>
    </row>
    <row r="7" spans="1:3" x14ac:dyDescent="0.3">
      <c r="A7" s="6" t="s">
        <v>11</v>
      </c>
      <c r="B7" s="7">
        <f>COUNTIF(Execution!$F$2:$F$496,A7)</f>
        <v>0</v>
      </c>
    </row>
    <row r="8" spans="1:3" x14ac:dyDescent="0.3">
      <c r="A8" s="8" t="s">
        <v>283</v>
      </c>
      <c r="B8" s="9">
        <f>COUNTA(Execution!$A$2:$A$496)</f>
        <v>91</v>
      </c>
    </row>
    <row r="9" spans="1:3" x14ac:dyDescent="0.3">
      <c r="A9" s="8" t="s">
        <v>284</v>
      </c>
      <c r="B9" s="10">
        <f>IFERROR((B4+B5)/B8,0)</f>
        <v>1</v>
      </c>
      <c r="C9" s="11" t="s">
        <v>285</v>
      </c>
    </row>
    <row r="10" spans="1:3" x14ac:dyDescent="0.3">
      <c r="A10" s="8" t="s">
        <v>286</v>
      </c>
      <c r="B10" s="10">
        <f>IFERROR(B4/(B4+B5),0)</f>
        <v>1</v>
      </c>
      <c r="C10" s="11" t="s">
        <v>287</v>
      </c>
    </row>
    <row r="12" spans="1:3" x14ac:dyDescent="0.3">
      <c r="A12" s="12"/>
    </row>
    <row r="13" spans="1:3" x14ac:dyDescent="0.3">
      <c r="A13" s="13"/>
    </row>
    <row r="14" spans="1:3" x14ac:dyDescent="0.3">
      <c r="A14" s="13"/>
    </row>
    <row r="15" spans="1:3" x14ac:dyDescent="0.3">
      <c r="A15" s="13"/>
    </row>
    <row r="16" spans="1:3" x14ac:dyDescent="0.3">
      <c r="A16" s="13"/>
    </row>
    <row r="17" spans="1:1" x14ac:dyDescent="0.3">
      <c r="A17" s="13"/>
    </row>
    <row r="18" spans="1:1" x14ac:dyDescent="0.3">
      <c r="A18" s="1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Execution</vt:lpstr>
      <vt:lpstr>Summary</vt:lpstr>
      <vt:lpstr>Execution!Print_Titles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dina ashraf</cp:lastModifiedBy>
  <cp:revision>0</cp:revision>
  <dcterms:created xsi:type="dcterms:W3CDTF">2026-10-09T19:02:42Z</dcterms:created>
  <dcterms:modified xsi:type="dcterms:W3CDTF">2026-10-18T20:27:13Z</dcterms:modified>
  <dc:language>en-US</dc:language>
</cp:coreProperties>
</file>