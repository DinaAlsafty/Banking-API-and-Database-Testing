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ummary Repor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<sst xmlns="http://schemas.openxmlformats.org/spreadsheetml/2006/main" count="62" uniqueCount="58">
  <si>
    <t xml:space="preserve">Banking API and Database — Test Summary Report</t>
  </si>
  <si>
    <t xml:space="preserve">1. Project Overview</t>
  </si>
  <si>
    <t xml:space="preserve">Project</t>
  </si>
  <si>
    <t xml:space="preserve">Banking API and Database Testing</t>
  </si>
  <si>
    <t xml:space="preserve">Objective</t>
  </si>
  <si>
    <t xml:space="preserve">Verify that the Banking API and its PostgreSQL database behave as expected across account management, balance, deposits, withdrawals, blocking, statements, persons, idempotency, rate limiting, request tracing, health monitoring, and database integrity.</t>
  </si>
  <si>
    <t xml:space="preserve">Tester</t>
  </si>
  <si>
    <t xml:space="preserve">Dina Ashraf Alsafty</t>
  </si>
  <si>
    <t xml:space="preserve">Test Environment</t>
  </si>
  <si>
    <t xml:space="preserve">Local environment: API at http://localhost:3000 (base path /api/v1) with a PostgreSQL database</t>
  </si>
  <si>
    <t xml:space="preserve">Database Tool</t>
  </si>
  <si>
    <t xml:space="preserve">DBeaver (used for database validation)</t>
  </si>
  <si>
    <t xml:space="preserve">Test Period</t>
  </si>
  <si>
    <t xml:space="preserve">2026-10-10 to 2026-10-15</t>
  </si>
  <si>
    <t xml:space="preserve">Test Approach</t>
  </si>
  <si>
    <t xml:space="preserve">Test scenarios were written first, then detailed test cases (preconditions, steps, test data, expected results), then every test case was executed and recorded with actual results, status, and notes.</t>
  </si>
  <si>
    <t xml:space="preserve">2. Execution Summary</t>
  </si>
  <si>
    <t xml:space="preserve">Total Test Cases</t>
  </si>
  <si>
    <t xml:space="preserve">Passed</t>
  </si>
  <si>
    <t xml:space="preserve">Failed</t>
  </si>
  <si>
    <t xml:space="preserve">Blocked</t>
  </si>
  <si>
    <t xml:space="preserve">Not Run</t>
  </si>
  <si>
    <t xml:space="preserve">Execution Progress</t>
  </si>
  <si>
    <t xml:space="preserve">Pass Rate</t>
  </si>
  <si>
    <t xml:space="preserve">Defects Found</t>
  </si>
  <si>
    <t xml:space="preserve">3. Test Case Priority</t>
  </si>
  <si>
    <t xml:space="preserve">High</t>
  </si>
  <si>
    <t xml:space="preserve">Medium</t>
  </si>
  <si>
    <t xml:space="preserve">4. Results by Module</t>
  </si>
  <si>
    <t xml:space="preserve">Module</t>
  </si>
  <si>
    <t xml:space="preserve">Total</t>
  </si>
  <si>
    <t xml:space="preserve">Pass</t>
  </si>
  <si>
    <t xml:space="preserve">Fail</t>
  </si>
  <si>
    <t xml:space="preserve">Account Management</t>
  </si>
  <si>
    <t xml:space="preserve">Balance</t>
  </si>
  <si>
    <t xml:space="preserve">Deposit</t>
  </si>
  <si>
    <t xml:space="preserve">Withdrawal</t>
  </si>
  <si>
    <t xml:space="preserve">Account Blocking</t>
  </si>
  <si>
    <t xml:space="preserve">Account Statement</t>
  </si>
  <si>
    <t xml:space="preserve">Persons</t>
  </si>
  <si>
    <t xml:space="preserve">Idempotency</t>
  </si>
  <si>
    <t xml:space="preserve">Rate Limiting</t>
  </si>
  <si>
    <t xml:space="preserve">API / HTTP Validation</t>
  </si>
  <si>
    <t xml:space="preserve">Request ID / Traceability</t>
  </si>
  <si>
    <t xml:space="preserve">Health &amp; System Monitoring</t>
  </si>
  <si>
    <t xml:space="preserve">Database Validation</t>
  </si>
  <si>
    <t xml:space="preserve">5. Key Observations</t>
  </si>
  <si>
    <t xml:space="preserve">•  Input validation: requests with a missing or malformed personId were rejected with 400 Bad Request and the error code VALIDATION_ERROR.</t>
  </si>
  <si>
    <t xml:space="preserve">•  Idempotency: repeating a request with the same Idempotency-Key returned the same transaction ID and did not change the balance a second time.</t>
  </si>
  <si>
    <t xml:space="preserve">•  Rate limiting: the configured IP limit of 100 requests per 60 seconds was enforced; the 101st request returned 429 Too Many Requests with the error code RATE_LIMITED.</t>
  </si>
  <si>
    <t xml:space="preserve">•  Database validation: duplicate transactions were prevented at database level (one transaction record found for a repeated request), verified with DBeaver.</t>
  </si>
  <si>
    <t xml:space="preserve">•  Monitoring: the metrics endpoint returned Prometheus-formatted metrics and the transaction counters updated after successful transactions.</t>
  </si>
  <si>
    <t xml:space="preserve">6. Defects</t>
  </si>
  <si>
    <t xml:space="preserve">Summary</t>
  </si>
  <si>
    <t xml:space="preserve">No defects were found during execution. The Bug ID column is N/A for all test cases.</t>
  </si>
  <si>
    <t xml:space="preserve">7. Conclusion</t>
  </si>
  <si>
    <t xml:space="preserve">Result</t>
  </si>
  <si>
    <t xml:space="preserve">All 91 test cases were executed and all passed, with no defects logged. Based on the documented test cases, the Banking API behaved as expected in every covered module. This conclusion applies only to the scope covered by these test cases.</t>
  </si>
</sst>
</file>

<file path=xl/styles.xml><?xml version="1.0" encoding="utf-8"?>
<styleSheet xmlns="http://schemas.openxmlformats.org/spreadsheetml/2006/main">
  <numFmts count="3">
    <numFmt numFmtId="164" formatCode="General"/>
    <numFmt numFmtId="165" formatCode="0%"/>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DEBF7"/>
        <bgColor rgb="FFCCFFFF"/>
      </patternFill>
    </fill>
    <fill>
      <patternFill patternType="solid">
        <fgColor rgb="FF2E75B6"/>
        <bgColor rgb="FF0066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6" min="3" style="0" width="12"/>
    <col collapsed="false" customWidth="true" hidden="false" outlineLevel="0" max="7" min="7" style="0" width="14"/>
  </cols>
  <sheetData>
    <row r="1" customFormat="false" ht="33.75" hidden="false" customHeight="true" outlineLevel="0" collapsed="false">
      <c r="A1" s="1" t="s">
        <v>0</v>
      </c>
      <c r="B1" s="1"/>
      <c r="C1" s="1"/>
      <c r="D1" s="1"/>
      <c r="E1" s="1"/>
      <c r="F1" s="1"/>
      <c r="G1" s="1"/>
    </row>
    <row r="3" customFormat="false" ht="21.75" hidden="false" customHeight="true" outlineLevel="0" collapsed="false">
      <c r="A3" s="2" t="s">
        <v>1</v>
      </c>
      <c r="B3" s="2"/>
      <c r="C3" s="2"/>
      <c r="D3" s="2"/>
      <c r="E3" s="2"/>
      <c r="F3" s="2"/>
      <c r="G3" s="2"/>
    </row>
    <row r="4" customFormat="false" ht="18" hidden="false" customHeight="true" outlineLevel="0" collapsed="false">
      <c r="A4" s="3" t="s">
        <v>2</v>
      </c>
      <c r="B4" s="4" t="s">
        <v>3</v>
      </c>
      <c r="C4" s="4"/>
      <c r="D4" s="4"/>
      <c r="E4" s="4"/>
      <c r="F4" s="4"/>
      <c r="G4" s="4"/>
    </row>
    <row r="5" customFormat="false" ht="48" hidden="false" customHeight="true" outlineLevel="0" collapsed="false">
      <c r="A5" s="3" t="s">
        <v>4</v>
      </c>
      <c r="B5" s="4" t="s">
        <v>5</v>
      </c>
      <c r="C5" s="4"/>
      <c r="D5" s="4"/>
      <c r="E5" s="4"/>
      <c r="F5" s="4"/>
      <c r="G5" s="4"/>
    </row>
    <row r="6" customFormat="false" ht="18" hidden="false" customHeight="true" outlineLevel="0" collapsed="false">
      <c r="A6" s="3" t="s">
        <v>6</v>
      </c>
      <c r="B6" s="4" t="s">
        <v>7</v>
      </c>
      <c r="C6" s="4"/>
      <c r="D6" s="4"/>
      <c r="E6" s="4"/>
      <c r="F6" s="4"/>
      <c r="G6" s="4"/>
    </row>
    <row r="7" customFormat="false" ht="33" hidden="false" customHeight="true" outlineLevel="0" collapsed="false">
      <c r="A7" s="3" t="s">
        <v>8</v>
      </c>
      <c r="B7" s="4" t="s">
        <v>9</v>
      </c>
      <c r="C7" s="4"/>
      <c r="D7" s="4"/>
      <c r="E7" s="4"/>
      <c r="F7" s="4"/>
      <c r="G7" s="4"/>
    </row>
    <row r="8" customFormat="false" ht="18" hidden="false" customHeight="true" outlineLevel="0" collapsed="false">
      <c r="A8" s="3" t="s">
        <v>10</v>
      </c>
      <c r="B8" s="4" t="s">
        <v>11</v>
      </c>
      <c r="C8" s="4"/>
      <c r="D8" s="4"/>
      <c r="E8" s="4"/>
      <c r="F8" s="4"/>
      <c r="G8" s="4"/>
    </row>
    <row r="9" customFormat="false" ht="18" hidden="false" customHeight="true" outlineLevel="0" collapsed="false">
      <c r="A9" s="3" t="s">
        <v>12</v>
      </c>
      <c r="B9" s="4" t="s">
        <v>13</v>
      </c>
      <c r="C9" s="4"/>
      <c r="D9" s="4"/>
      <c r="E9" s="4"/>
      <c r="F9" s="4"/>
      <c r="G9" s="4"/>
    </row>
    <row r="10" customFormat="false" ht="48" hidden="false" customHeight="true" outlineLevel="0" collapsed="false">
      <c r="A10" s="3" t="s">
        <v>14</v>
      </c>
      <c r="B10" s="4" t="s">
        <v>15</v>
      </c>
      <c r="C10" s="4"/>
      <c r="D10" s="4"/>
      <c r="E10" s="4"/>
      <c r="F10" s="4"/>
      <c r="G10" s="4"/>
    </row>
    <row r="12" customFormat="false" ht="21.75" hidden="false" customHeight="true" outlineLevel="0" collapsed="false">
      <c r="A12" s="2" t="s">
        <v>16</v>
      </c>
      <c r="B12" s="2"/>
      <c r="C12" s="2"/>
      <c r="D12" s="2"/>
      <c r="E12" s="2"/>
      <c r="F12" s="2"/>
      <c r="G12" s="2"/>
    </row>
    <row r="13" customFormat="false" ht="18" hidden="false" customHeight="true" outlineLevel="0" collapsed="false">
      <c r="A13" s="3" t="s">
        <v>17</v>
      </c>
      <c r="B13" s="5" t="n">
        <v>91</v>
      </c>
      <c r="C13" s="5"/>
      <c r="D13" s="5"/>
      <c r="E13" s="5"/>
      <c r="F13" s="5"/>
      <c r="G13" s="5"/>
    </row>
    <row r="14" customFormat="false" ht="18" hidden="false" customHeight="true" outlineLevel="0" collapsed="false">
      <c r="A14" s="3" t="s">
        <v>18</v>
      </c>
      <c r="B14" s="5" t="n">
        <f aca="false">C41</f>
        <v>91</v>
      </c>
      <c r="C14" s="5"/>
      <c r="D14" s="5"/>
      <c r="E14" s="5"/>
      <c r="F14" s="5"/>
      <c r="G14" s="5"/>
    </row>
    <row r="15" customFormat="false" ht="18" hidden="false" customHeight="true" outlineLevel="0" collapsed="false">
      <c r="A15" s="3" t="s">
        <v>19</v>
      </c>
      <c r="B15" s="5" t="n">
        <f aca="false">D41</f>
        <v>0</v>
      </c>
      <c r="C15" s="5"/>
      <c r="D15" s="5"/>
      <c r="E15" s="5"/>
      <c r="F15" s="5"/>
      <c r="G15" s="5"/>
    </row>
    <row r="16" customFormat="false" ht="18" hidden="false" customHeight="true" outlineLevel="0" collapsed="false">
      <c r="A16" s="3" t="s">
        <v>20</v>
      </c>
      <c r="B16" s="5" t="n">
        <f aca="false">E41</f>
        <v>0</v>
      </c>
      <c r="C16" s="5"/>
      <c r="D16" s="5"/>
      <c r="E16" s="5"/>
      <c r="F16" s="5"/>
      <c r="G16" s="5"/>
    </row>
    <row r="17" customFormat="false" ht="18" hidden="false" customHeight="true" outlineLevel="0" collapsed="false">
      <c r="A17" s="3" t="s">
        <v>21</v>
      </c>
      <c r="B17" s="5" t="n">
        <f aca="false">F41</f>
        <v>0</v>
      </c>
      <c r="C17" s="5"/>
      <c r="D17" s="5"/>
      <c r="E17" s="5"/>
      <c r="F17" s="5"/>
      <c r="G17" s="5"/>
    </row>
    <row r="18" customFormat="false" ht="18" hidden="false" customHeight="true" outlineLevel="0" collapsed="false">
      <c r="A18" s="3" t="s">
        <v>22</v>
      </c>
      <c r="B18" s="6" t="n">
        <f aca="false">IFERROR((B14+B15)/B13,0)</f>
        <v>1</v>
      </c>
      <c r="C18" s="6"/>
      <c r="D18" s="6"/>
      <c r="E18" s="6"/>
      <c r="F18" s="6"/>
      <c r="G18" s="6"/>
    </row>
    <row r="19" customFormat="false" ht="18" hidden="false" customHeight="true" outlineLevel="0" collapsed="false">
      <c r="A19" s="3" t="s">
        <v>23</v>
      </c>
      <c r="B19" s="6" t="n">
        <f aca="false">IFERROR(B14/(B14+B15),0)</f>
        <v>1</v>
      </c>
      <c r="C19" s="6"/>
      <c r="D19" s="6"/>
      <c r="E19" s="6"/>
      <c r="F19" s="6"/>
      <c r="G19" s="6"/>
    </row>
    <row r="20" customFormat="false" ht="18" hidden="false" customHeight="true" outlineLevel="0" collapsed="false">
      <c r="A20" s="3" t="s">
        <v>24</v>
      </c>
      <c r="B20" s="5" t="n">
        <v>0</v>
      </c>
      <c r="C20" s="5"/>
      <c r="D20" s="5"/>
      <c r="E20" s="5"/>
      <c r="F20" s="5"/>
      <c r="G20" s="5"/>
    </row>
    <row r="22" customFormat="false" ht="21.75" hidden="false" customHeight="true" outlineLevel="0" collapsed="false">
      <c r="A22" s="2" t="s">
        <v>25</v>
      </c>
      <c r="B22" s="2"/>
      <c r="C22" s="2"/>
      <c r="D22" s="2"/>
      <c r="E22" s="2"/>
      <c r="F22" s="2"/>
      <c r="G22" s="2"/>
    </row>
    <row r="23" customFormat="false" ht="18" hidden="false" customHeight="true" outlineLevel="0" collapsed="false">
      <c r="A23" s="3" t="s">
        <v>26</v>
      </c>
      <c r="B23" s="5" t="n">
        <v>73</v>
      </c>
      <c r="C23" s="5"/>
      <c r="D23" s="5"/>
      <c r="E23" s="5"/>
      <c r="F23" s="5"/>
      <c r="G23" s="5"/>
    </row>
    <row r="24" customFormat="false" ht="18" hidden="false" customHeight="true" outlineLevel="0" collapsed="false">
      <c r="A24" s="3" t="s">
        <v>27</v>
      </c>
      <c r="B24" s="5" t="n">
        <v>18</v>
      </c>
      <c r="C24" s="5"/>
      <c r="D24" s="5"/>
      <c r="E24" s="5"/>
      <c r="F24" s="5"/>
      <c r="G24" s="5"/>
    </row>
    <row r="26" customFormat="false" ht="21.75" hidden="false" customHeight="true" outlineLevel="0" collapsed="false">
      <c r="A26" s="2" t="s">
        <v>28</v>
      </c>
      <c r="B26" s="2"/>
      <c r="C26" s="2"/>
      <c r="D26" s="2"/>
      <c r="E26" s="2"/>
      <c r="F26" s="2"/>
      <c r="G26" s="2"/>
    </row>
    <row r="27" customFormat="false" ht="15" hidden="false" customHeight="false" outlineLevel="0" collapsed="false">
      <c r="A27" s="7" t="s">
        <v>29</v>
      </c>
      <c r="B27" s="7" t="s">
        <v>30</v>
      </c>
      <c r="C27" s="7" t="s">
        <v>31</v>
      </c>
      <c r="D27" s="7" t="s">
        <v>32</v>
      </c>
      <c r="E27" s="7" t="s">
        <v>20</v>
      </c>
      <c r="F27" s="7" t="s">
        <v>21</v>
      </c>
      <c r="G27" s="7" t="s">
        <v>23</v>
      </c>
    </row>
    <row r="28" customFormat="false" ht="15" hidden="false" customHeight="false" outlineLevel="0" collapsed="false">
      <c r="A28" s="5" t="s">
        <v>33</v>
      </c>
      <c r="B28" s="8" t="n">
        <f aca="false">SUM(C28:F28)</f>
        <v>10</v>
      </c>
      <c r="C28" s="8" t="n">
        <v>10</v>
      </c>
      <c r="D28" s="8" t="n">
        <v>0</v>
      </c>
      <c r="E28" s="8" t="n">
        <v>0</v>
      </c>
      <c r="F28" s="8" t="n">
        <v>0</v>
      </c>
      <c r="G28" s="9" t="n">
        <f aca="false">IFERROR(C28/(C28+D28),0)</f>
        <v>1</v>
      </c>
    </row>
    <row r="29" customFormat="false" ht="15" hidden="false" customHeight="false" outlineLevel="0" collapsed="false">
      <c r="A29" s="5" t="s">
        <v>34</v>
      </c>
      <c r="B29" s="8" t="n">
        <f aca="false">SUM(C29:F29)</f>
        <v>7</v>
      </c>
      <c r="C29" s="8" t="n">
        <v>7</v>
      </c>
      <c r="D29" s="8" t="n">
        <v>0</v>
      </c>
      <c r="E29" s="8" t="n">
        <v>0</v>
      </c>
      <c r="F29" s="8" t="n">
        <v>0</v>
      </c>
      <c r="G29" s="9" t="n">
        <f aca="false">IFERROR(C29/(C29+D29),0)</f>
        <v>1</v>
      </c>
    </row>
    <row r="30" customFormat="false" ht="15" hidden="false" customHeight="false" outlineLevel="0" collapsed="false">
      <c r="A30" s="5" t="s">
        <v>35</v>
      </c>
      <c r="B30" s="8" t="n">
        <f aca="false">SUM(C30:F30)</f>
        <v>11</v>
      </c>
      <c r="C30" s="8" t="n">
        <v>11</v>
      </c>
      <c r="D30" s="8" t="n">
        <v>0</v>
      </c>
      <c r="E30" s="8" t="n">
        <v>0</v>
      </c>
      <c r="F30" s="8" t="n">
        <v>0</v>
      </c>
      <c r="G30" s="9" t="n">
        <f aca="false">IFERROR(C30/(C30+D30),0)</f>
        <v>1</v>
      </c>
    </row>
    <row r="31" customFormat="false" ht="15" hidden="false" customHeight="false" outlineLevel="0" collapsed="false">
      <c r="A31" s="5" t="s">
        <v>36</v>
      </c>
      <c r="B31" s="8" t="n">
        <f aca="false">SUM(C31:F31)</f>
        <v>12</v>
      </c>
      <c r="C31" s="8" t="n">
        <v>12</v>
      </c>
      <c r="D31" s="8" t="n">
        <v>0</v>
      </c>
      <c r="E31" s="8" t="n">
        <v>0</v>
      </c>
      <c r="F31" s="8" t="n">
        <v>0</v>
      </c>
      <c r="G31" s="9" t="n">
        <f aca="false">IFERROR(C31/(C31+D31),0)</f>
        <v>1</v>
      </c>
    </row>
    <row r="32" customFormat="false" ht="15" hidden="false" customHeight="false" outlineLevel="0" collapsed="false">
      <c r="A32" s="5" t="s">
        <v>37</v>
      </c>
      <c r="B32" s="8" t="n">
        <f aca="false">SUM(C32:F32)</f>
        <v>4</v>
      </c>
      <c r="C32" s="8" t="n">
        <v>4</v>
      </c>
      <c r="D32" s="8" t="n">
        <v>0</v>
      </c>
      <c r="E32" s="8" t="n">
        <v>0</v>
      </c>
      <c r="F32" s="8" t="n">
        <v>0</v>
      </c>
      <c r="G32" s="9" t="n">
        <f aca="false">IFERROR(C32/(C32+D32),0)</f>
        <v>1</v>
      </c>
    </row>
    <row r="33" customFormat="false" ht="15" hidden="false" customHeight="false" outlineLevel="0" collapsed="false">
      <c r="A33" s="5" t="s">
        <v>38</v>
      </c>
      <c r="B33" s="8" t="n">
        <f aca="false">SUM(C33:F33)</f>
        <v>10</v>
      </c>
      <c r="C33" s="8" t="n">
        <v>10</v>
      </c>
      <c r="D33" s="8" t="n">
        <v>0</v>
      </c>
      <c r="E33" s="8" t="n">
        <v>0</v>
      </c>
      <c r="F33" s="8" t="n">
        <v>0</v>
      </c>
      <c r="G33" s="9" t="n">
        <f aca="false">IFERROR(C33/(C33+D33),0)</f>
        <v>1</v>
      </c>
    </row>
    <row r="34" customFormat="false" ht="15" hidden="false" customHeight="false" outlineLevel="0" collapsed="false">
      <c r="A34" s="5" t="s">
        <v>39</v>
      </c>
      <c r="B34" s="8" t="n">
        <f aca="false">SUM(C34:F34)</f>
        <v>5</v>
      </c>
      <c r="C34" s="8" t="n">
        <v>5</v>
      </c>
      <c r="D34" s="8" t="n">
        <v>0</v>
      </c>
      <c r="E34" s="8" t="n">
        <v>0</v>
      </c>
      <c r="F34" s="8" t="n">
        <v>0</v>
      </c>
      <c r="G34" s="9" t="n">
        <f aca="false">IFERROR(C34/(C34+D34),0)</f>
        <v>1</v>
      </c>
    </row>
    <row r="35" customFormat="false" ht="15" hidden="false" customHeight="false" outlineLevel="0" collapsed="false">
      <c r="A35" s="5" t="s">
        <v>40</v>
      </c>
      <c r="B35" s="8" t="n">
        <f aca="false">SUM(C35:F35)</f>
        <v>3</v>
      </c>
      <c r="C35" s="8" t="n">
        <v>3</v>
      </c>
      <c r="D35" s="8" t="n">
        <v>0</v>
      </c>
      <c r="E35" s="8" t="n">
        <v>0</v>
      </c>
      <c r="F35" s="8" t="n">
        <v>0</v>
      </c>
      <c r="G35" s="9" t="n">
        <f aca="false">IFERROR(C35/(C35+D35),0)</f>
        <v>1</v>
      </c>
    </row>
    <row r="36" customFormat="false" ht="15" hidden="false" customHeight="false" outlineLevel="0" collapsed="false">
      <c r="A36" s="5" t="s">
        <v>41</v>
      </c>
      <c r="B36" s="8" t="n">
        <f aca="false">SUM(C36:F36)</f>
        <v>6</v>
      </c>
      <c r="C36" s="8" t="n">
        <v>6</v>
      </c>
      <c r="D36" s="8" t="n">
        <v>0</v>
      </c>
      <c r="E36" s="8" t="n">
        <v>0</v>
      </c>
      <c r="F36" s="8" t="n">
        <v>0</v>
      </c>
      <c r="G36" s="9" t="n">
        <f aca="false">IFERROR(C36/(C36+D36),0)</f>
        <v>1</v>
      </c>
    </row>
    <row r="37" customFormat="false" ht="15" hidden="false" customHeight="false" outlineLevel="0" collapsed="false">
      <c r="A37" s="5" t="s">
        <v>42</v>
      </c>
      <c r="B37" s="8" t="n">
        <f aca="false">SUM(C37:F37)</f>
        <v>5</v>
      </c>
      <c r="C37" s="8" t="n">
        <v>5</v>
      </c>
      <c r="D37" s="8" t="n">
        <v>0</v>
      </c>
      <c r="E37" s="8" t="n">
        <v>0</v>
      </c>
      <c r="F37" s="8" t="n">
        <v>0</v>
      </c>
      <c r="G37" s="9" t="n">
        <f aca="false">IFERROR(C37/(C37+D37),0)</f>
        <v>1</v>
      </c>
    </row>
    <row r="38" customFormat="false" ht="15" hidden="false" customHeight="false" outlineLevel="0" collapsed="false">
      <c r="A38" s="5" t="s">
        <v>43</v>
      </c>
      <c r="B38" s="8" t="n">
        <f aca="false">SUM(C38:F38)</f>
        <v>2</v>
      </c>
      <c r="C38" s="8" t="n">
        <v>2</v>
      </c>
      <c r="D38" s="8" t="n">
        <v>0</v>
      </c>
      <c r="E38" s="8" t="n">
        <v>0</v>
      </c>
      <c r="F38" s="8" t="n">
        <v>0</v>
      </c>
      <c r="G38" s="9" t="n">
        <f aca="false">IFERROR(C38/(C38+D38),0)</f>
        <v>1</v>
      </c>
    </row>
    <row r="39" customFormat="false" ht="15" hidden="false" customHeight="false" outlineLevel="0" collapsed="false">
      <c r="A39" s="5" t="s">
        <v>44</v>
      </c>
      <c r="B39" s="8" t="n">
        <f aca="false">SUM(C39:F39)</f>
        <v>4</v>
      </c>
      <c r="C39" s="8" t="n">
        <v>4</v>
      </c>
      <c r="D39" s="8" t="n">
        <v>0</v>
      </c>
      <c r="E39" s="8" t="n">
        <v>0</v>
      </c>
      <c r="F39" s="8" t="n">
        <v>0</v>
      </c>
      <c r="G39" s="9" t="n">
        <f aca="false">IFERROR(C39/(C39+D39),0)</f>
        <v>1</v>
      </c>
    </row>
    <row r="40" customFormat="false" ht="15" hidden="false" customHeight="false" outlineLevel="0" collapsed="false">
      <c r="A40" s="5" t="s">
        <v>45</v>
      </c>
      <c r="B40" s="8" t="n">
        <f aca="false">SUM(C40:F40)</f>
        <v>12</v>
      </c>
      <c r="C40" s="8" t="n">
        <v>12</v>
      </c>
      <c r="D40" s="8" t="n">
        <v>0</v>
      </c>
      <c r="E40" s="8" t="n">
        <v>0</v>
      </c>
      <c r="F40" s="8" t="n">
        <v>0</v>
      </c>
      <c r="G40" s="9" t="n">
        <f aca="false">IFERROR(C40/(C40+D40),0)</f>
        <v>1</v>
      </c>
    </row>
    <row r="41" customFormat="false" ht="15" hidden="false" customHeight="false" outlineLevel="0" collapsed="false">
      <c r="A41" s="10" t="s">
        <v>30</v>
      </c>
      <c r="B41" s="11" t="n">
        <f aca="false">SUM(B28:B40)</f>
        <v>91</v>
      </c>
      <c r="C41" s="11" t="n">
        <f aca="false">SUM(C28:C40)</f>
        <v>91</v>
      </c>
      <c r="D41" s="11" t="n">
        <f aca="false">SUM(D28:D40)</f>
        <v>0</v>
      </c>
      <c r="E41" s="11" t="n">
        <f aca="false">SUM(E28:E40)</f>
        <v>0</v>
      </c>
      <c r="F41" s="11" t="n">
        <f aca="false">SUM(F28:F40)</f>
        <v>0</v>
      </c>
      <c r="G41" s="12" t="n">
        <f aca="false">IFERROR(C41/(C41+D41),0)</f>
        <v>1</v>
      </c>
    </row>
    <row r="43" customFormat="false" ht="21.75" hidden="false" customHeight="true" outlineLevel="0" collapsed="false">
      <c r="A43" s="2" t="s">
        <v>46</v>
      </c>
      <c r="B43" s="2"/>
      <c r="C43" s="2"/>
      <c r="D43" s="2"/>
      <c r="E43" s="2"/>
      <c r="F43" s="2"/>
      <c r="G43" s="2"/>
    </row>
    <row r="44" customFormat="false" ht="31.5" hidden="false" customHeight="true" outlineLevel="0" collapsed="false">
      <c r="A44" s="13" t="s">
        <v>47</v>
      </c>
      <c r="B44" s="13"/>
      <c r="C44" s="13"/>
      <c r="D44" s="13"/>
      <c r="E44" s="13"/>
      <c r="F44" s="13"/>
      <c r="G44" s="13"/>
    </row>
    <row r="45" customFormat="false" ht="31.5" hidden="false" customHeight="true" outlineLevel="0" collapsed="false">
      <c r="A45" s="13" t="s">
        <v>48</v>
      </c>
      <c r="B45" s="13"/>
      <c r="C45" s="13"/>
      <c r="D45" s="13"/>
      <c r="E45" s="13"/>
      <c r="F45" s="13"/>
      <c r="G45" s="13"/>
    </row>
    <row r="46" customFormat="false" ht="31.5" hidden="false" customHeight="true" outlineLevel="0" collapsed="false">
      <c r="A46" s="13" t="s">
        <v>49</v>
      </c>
      <c r="B46" s="13"/>
      <c r="C46" s="13"/>
      <c r="D46" s="13"/>
      <c r="E46" s="13"/>
      <c r="F46" s="13"/>
      <c r="G46" s="13"/>
    </row>
    <row r="47" customFormat="false" ht="31.5" hidden="false" customHeight="true" outlineLevel="0" collapsed="false">
      <c r="A47" s="13" t="s">
        <v>50</v>
      </c>
      <c r="B47" s="13"/>
      <c r="C47" s="13"/>
      <c r="D47" s="13"/>
      <c r="E47" s="13"/>
      <c r="F47" s="13"/>
      <c r="G47" s="13"/>
    </row>
    <row r="48" customFormat="false" ht="31.5" hidden="false" customHeight="true" outlineLevel="0" collapsed="false">
      <c r="A48" s="13" t="s">
        <v>51</v>
      </c>
      <c r="B48" s="13"/>
      <c r="C48" s="13"/>
      <c r="D48" s="13"/>
      <c r="E48" s="13"/>
      <c r="F48" s="13"/>
      <c r="G48" s="13"/>
    </row>
    <row r="50" customFormat="false" ht="21.75" hidden="false" customHeight="true" outlineLevel="0" collapsed="false">
      <c r="A50" s="2" t="s">
        <v>52</v>
      </c>
      <c r="B50" s="2"/>
      <c r="C50" s="2"/>
      <c r="D50" s="2"/>
      <c r="E50" s="2"/>
      <c r="F50" s="2"/>
      <c r="G50" s="2"/>
    </row>
    <row r="51" customFormat="false" ht="18" hidden="false" customHeight="true" outlineLevel="0" collapsed="false">
      <c r="A51" s="3" t="s">
        <v>53</v>
      </c>
      <c r="B51" s="4" t="s">
        <v>54</v>
      </c>
      <c r="C51" s="4"/>
      <c r="D51" s="4"/>
      <c r="E51" s="4"/>
      <c r="F51" s="4"/>
      <c r="G51" s="4"/>
    </row>
    <row r="53" customFormat="false" ht="21.75" hidden="false" customHeight="true" outlineLevel="0" collapsed="false">
      <c r="A53" s="2" t="s">
        <v>55</v>
      </c>
      <c r="B53" s="2"/>
      <c r="C53" s="2"/>
      <c r="D53" s="2"/>
      <c r="E53" s="2"/>
      <c r="F53" s="2"/>
      <c r="G53" s="2"/>
    </row>
    <row r="54" customFormat="false" ht="48" hidden="false" customHeight="true" outlineLevel="0" collapsed="false">
      <c r="A54" s="3" t="s">
        <v>56</v>
      </c>
      <c r="B54" s="4" t="s">
        <v>57</v>
      </c>
      <c r="C54" s="4"/>
      <c r="D54" s="4"/>
      <c r="E54" s="4"/>
      <c r="F54" s="4"/>
      <c r="G54" s="4"/>
    </row>
  </sheetData>
  <mergeCells count="32">
    <mergeCell ref="A1:G1"/>
    <mergeCell ref="A3:G3"/>
    <mergeCell ref="B4:G4"/>
    <mergeCell ref="B5:G5"/>
    <mergeCell ref="B6:G6"/>
    <mergeCell ref="B7:G7"/>
    <mergeCell ref="B8:G8"/>
    <mergeCell ref="B9:G9"/>
    <mergeCell ref="B10:G10"/>
    <mergeCell ref="A12:G12"/>
    <mergeCell ref="B13:G13"/>
    <mergeCell ref="B14:G14"/>
    <mergeCell ref="B15:G15"/>
    <mergeCell ref="B16:G16"/>
    <mergeCell ref="B17:G17"/>
    <mergeCell ref="B18:G18"/>
    <mergeCell ref="B19:G19"/>
    <mergeCell ref="B20:G20"/>
    <mergeCell ref="A22:G22"/>
    <mergeCell ref="B23:G23"/>
    <mergeCell ref="B24:G24"/>
    <mergeCell ref="A26:G26"/>
    <mergeCell ref="A43:G43"/>
    <mergeCell ref="A44:G44"/>
    <mergeCell ref="A45:G45"/>
    <mergeCell ref="A46:G46"/>
    <mergeCell ref="A47:G47"/>
    <mergeCell ref="A48:G48"/>
    <mergeCell ref="A50:G50"/>
    <mergeCell ref="B51:G51"/>
    <mergeCell ref="A53:G53"/>
    <mergeCell ref="B54:G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2026-10-18T20:45:55Z</dcterms:created>
  <dc:creator>openpyxl</dc:creator>
  <dc:description/>
  <dc:language>en-US</dc:language>
  <cp:lastModifiedBy/>
  <dcterms:modified xsi:type="dcterms:W3CDTF">2026-10-18T20:45:56Z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